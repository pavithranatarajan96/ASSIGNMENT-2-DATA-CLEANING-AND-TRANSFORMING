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4560c99ae264b73/Desktop/data course/"/>
    </mc:Choice>
  </mc:AlternateContent>
  <xr:revisionPtr revIDLastSave="15" documentId="11_6E623FD8ECE4F609B1AC7BCCA7290F54B1BFD786" xr6:coauthVersionLast="47" xr6:coauthVersionMax="47" xr10:uidLastSave="{EBF40322-6932-4E26-8368-7B1F5295DC1A}"/>
  <bookViews>
    <workbookView xWindow="-108" yWindow="-108" windowWidth="23256" windowHeight="12456" xr2:uid="{00000000-000D-0000-FFFF-FFFF00000000}"/>
  </bookViews>
  <sheets>
    <sheet name="Dataset" sheetId="2" r:id="rId1"/>
  </sheets>
  <definedNames>
    <definedName name="_xlnm._FilterDatabase" localSheetId="0" hidden="1">Dataset!$B$1:$I$33</definedName>
  </definedNames>
  <calcPr calcId="191029"/>
</workbook>
</file>

<file path=xl/calcChain.xml><?xml version="1.0" encoding="utf-8"?>
<calcChain xmlns="http://schemas.openxmlformats.org/spreadsheetml/2006/main">
  <c r="G30" i="2" l="1"/>
  <c r="G31" i="2"/>
  <c r="G32" i="2"/>
  <c r="G3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A17FE-AAA3-49BC-BBEB-E51F05D66E99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<sst xmlns="http://schemas.openxmlformats.org/spreadsheetml/2006/main" count="208" uniqueCount="133">
  <si>
    <t>Product Name</t>
  </si>
  <si>
    <t>Brand Name</t>
  </si>
  <si>
    <t>Price ($)</t>
  </si>
  <si>
    <t>Quantity</t>
  </si>
  <si>
    <t>Category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</si>
  <si>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</si>
  <si>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</si>
  <si>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</si>
  <si>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</si>
  <si>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</si>
  <si>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</si>
  <si>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</si>
  <si>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</si>
  <si>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</si>
  <si>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</si>
  <si>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</si>
  <si>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</si>
  <si>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</si>
  <si>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</si>
  <si>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</si>
  <si>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</si>
  <si>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</si>
  <si>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</si>
  <si>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</si>
  <si>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</si>
  <si>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</si>
  <si>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14-OCT-UK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</si>
  <si>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</si>
  <si>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</si>
  <si>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</si>
  <si>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</si>
  <si>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</si>
  <si>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</si>
  <si>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</si>
  <si>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</si>
  <si>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</si>
  <si>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</si>
  <si>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</si>
  <si>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</si>
  <si>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</si>
  <si>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</si>
  <si>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</si>
  <si>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</si>
  <si>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</si>
  <si>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14-AUG-US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</si>
  <si>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</si>
  <si>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</si>
  <si>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</si>
  <si>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</si>
  <si>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</si>
  <si>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</si>
  <si>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</si>
  <si>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</si>
  <si>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</si>
  <si>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</si>
  <si>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</si>
  <si>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</si>
  <si>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</si>
  <si>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</si>
  <si>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</si>
  <si>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</si>
  <si>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</si>
  <si>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</si>
  <si>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</si>
  <si>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</si>
  <si>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</si>
  <si>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1. Handling Missing Values:</t>
  </si>
  <si>
    <t>● Check for missing values in the 'Price' column. How would you handle products with</t>
  </si>
  <si>
    <t>missing price information?</t>
  </si>
  <si>
    <t>● If there are products with missing categories, propose a strategy to impute or deal</t>
  </si>
  <si>
    <t>with these missing values effectively.</t>
  </si>
  <si>
    <t>2. Correcting Inconsistent Data:</t>
  </si>
  <si>
    <t>● Identify any inconsistent text formats present in the "Product Name" column.</t>
  </si>
  <si>
    <t>● Identify any typos present in the "Category" column.</t>
  </si>
  <si>
    <t>● Use the find and replace function to standardize the text formats in the "Product</t>
  </si>
  <si>
    <t>Name" column and fix any typos or misspellings in the "Category" column.</t>
  </si>
  <si>
    <t>3. Removing Duplicates:</t>
  </si>
  <si>
    <t>● Identify any duplicate rows within the dataset based on the entirety of each row, and</t>
  </si>
  <si>
    <t>remove them if any.</t>
  </si>
  <si>
    <t>4. Splitting and Merging Data:</t>
  </si>
  <si>
    <t>● Split the "Product ID" column into two separate columns for " Manufacturing Date"</t>
  </si>
  <si>
    <t>and "Country Code". Remove unnecessary characters, if any.</t>
  </si>
  <si>
    <t>● Merge the "Brand Name" and "Product Name" columns into one column named</t>
  </si>
  <si>
    <t>Product Brand.</t>
  </si>
  <si>
    <t>5. Number Formatting:</t>
  </si>
  <si>
    <t>● Format the data type of the "Price" column to a currency format.</t>
  </si>
  <si>
    <t>● Format the "Manufacturing Date" column to display dates in the "DD-MM-YYYY "</t>
  </si>
  <si>
    <t>format.</t>
  </si>
  <si>
    <t>6. Conditional Formatting:</t>
  </si>
  <si>
    <t>I find that this row is duplicate</t>
  </si>
  <si>
    <t>Column3</t>
  </si>
  <si>
    <t>Column4</t>
  </si>
  <si>
    <t>Column5</t>
  </si>
  <si>
    <t>USING FILTER OPTION I FIND OUT THE WORD IS HIKING BOOTS, CAMPING TENT</t>
  </si>
  <si>
    <t>Electronicscs</t>
  </si>
  <si>
    <t>the category is "Electronicscs."</t>
  </si>
  <si>
    <t>Electronics word mentioned as Electroni</t>
  </si>
  <si>
    <t>Column6</t>
  </si>
  <si>
    <t>Column7</t>
  </si>
  <si>
    <t>Column8</t>
  </si>
  <si>
    <t>Column9</t>
  </si>
  <si>
    <t>Column10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</si>
  <si>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</si>
  <si>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</si>
  <si>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</si>
  <si>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</si>
  <si>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</si>
  <si>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</si>
  <si>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</si>
  <si>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</si>
  <si>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</si>
  <si>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</si>
  <si>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</si>
  <si>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</si>
  <si>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Using power query mode the data got clean, trim, captalized</t>
  </si>
  <si>
    <t xml:space="preserve"> using find and replace the word Electroni change into Electronics</t>
  </si>
  <si>
    <t>Manufacturing Date</t>
  </si>
  <si>
    <t>Country Code</t>
  </si>
  <si>
    <t>[@[Product Name]]&amp;"-"&amp;[@[Brand Name]]</t>
  </si>
  <si>
    <t>Select price column and in home tab change general into currency</t>
  </si>
  <si>
    <t xml:space="preserve">After spliting the date and country in power query mode date autometically </t>
  </si>
  <si>
    <t>change into DD-MM-YYY format</t>
  </si>
  <si>
    <t>due to small amount of data manually change into category</t>
  </si>
  <si>
    <t>In home tab conditional formating option - heighlight cell rules - text that contains</t>
  </si>
  <si>
    <t>mentioned eletronic and pefered color</t>
  </si>
  <si>
    <t>IF(ISBLANK(F2),AVERAGE(F2:F32),F2)</t>
  </si>
  <si>
    <t>AVERAGE</t>
  </si>
  <si>
    <t xml:space="preserve">Using power query mode the data got splited into 2 cloumn </t>
  </si>
  <si>
    <t>using split colum option and in right function and - spicifation</t>
  </si>
  <si>
    <t xml:space="preserve">● Apply data bar or color scales conditional formatting in the "Price" column. </t>
  </si>
  <si>
    <t>● Create a custom rule for conditional formatting in the "Category" column to highlight cells where</t>
  </si>
  <si>
    <t>In home tab conditional formating option - data bar - gradient fil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</si>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</sst>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3">
    <font>
      <sz val="10"/>
      <color rgb="FF000000"/>
      <name val="Arial"/>
      <charset val="134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164" formatCode="&quot;₹&quot;\ #,##0.0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0A3017-2B5F-45ED-8F9B-2FB56EA6F6D1}" name="Table5" displayName="Table5" ref="A1:R1048576" totalsRowShown="0" headerRowDxfId="1" dataDxfId="0">
  <tableColumns count="18">
    <tableColumn id="1" xr3:uid="{09FB76F5-6C77-4883-9815-33B2D8D151BC}" name="Manufacturing Date" dataDxfId="19"/>
    <tableColumn id="2" xr3:uid="{A23A377B-56EB-44C5-8878-192E8B48808C}" name="Country Code" dataDxfId="18"/>
    <tableColumn id="3" xr3:uid="{ACE3D9F5-AFA0-42D3-92ED-6716AE13F090}" name="Product Name" dataDxfId="17"/>
    <tableColumn id="4" xr3:uid="{7587C8DE-AF87-411E-80D4-AEBD7FFF4F70}" name="Brand Name" dataDxfId="16"/>
    <tableColumn id="5" xr3:uid="{2E36FBB5-835A-41E3-920A-1D4ECD03E1C4}" name="Product Brand." dataDxfId="15">
      <calculatedColumnFormula>Table5[[#This Row],[Product Name]]&amp;"-"&amp;Table5[[#This Row],[Brand Name]]</calculatedColumnFormula>
    </tableColumn>
    <tableColumn id="18" xr3:uid="{049EF1E1-5A22-4029-814B-92619C3615BF}" name="Price ($)" dataDxfId="14"/>
    <tableColumn id="6" xr3:uid="{A133B495-F07C-4DE0-9D01-37FCCC79AE9A}" name="AVERAGE" dataDxfId="13">
      <calculatedColumnFormula>IF(ISBLANK(F2),AVERAGE(F2:F30),F2)</calculatedColumnFormula>
    </tableColumn>
    <tableColumn id="7" xr3:uid="{220AC8D6-BAF6-484C-9F65-11C56621B1D6}" name="Quantity" dataDxfId="12"/>
    <tableColumn id="8" xr3:uid="{4A288EA2-1BF9-43B1-B326-8250885934C8}" name="Category" dataDxfId="11"/>
    <tableColumn id="9" xr3:uid="{604254BC-9038-4F24-B0EE-62C92D9162C9}" name="Column1" dataDxfId="10"/>
    <tableColumn id="10" xr3:uid="{F00D23EC-F77B-4A86-BC38-E2D2D3F71BD0}" name="Column3" dataDxfId="9"/>
    <tableColumn id="11" xr3:uid="{01E44CA1-7596-4674-98FA-8712C2B33644}" name="Column4" dataDxfId="8"/>
    <tableColumn id="12" xr3:uid="{40184D43-4F9A-46A0-A8A3-94A063669727}" name="Column5" dataDxfId="7"/>
    <tableColumn id="13" xr3:uid="{B1F1FFEC-7098-4740-9B28-F271973C0B5F}" name="Column6" dataDxfId="6"/>
    <tableColumn id="14" xr3:uid="{412AF0AA-3763-493B-82CF-A5F081681284}" name="Column7" dataDxfId="5"/>
    <tableColumn id="15" xr3:uid="{5062B864-EDFC-4BC9-B97F-016470780ECE}" name="Column8" dataDxfId="4"/>
    <tableColumn id="16" xr3:uid="{0689B199-1F01-4303-B91D-42DF00D26901}" name="Column9" dataDxfId="3"/>
    <tableColumn id="17" xr3:uid="{8CBEF6F4-6769-49DB-8BF3-6245EB74B94E}" name="Column10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8"/>
  <sheetViews>
    <sheetView tabSelected="1" zoomScale="103" workbookViewId="0">
      <selection activeCell="J4" sqref="J4"/>
    </sheetView>
  </sheetViews>
  <sheetFormatPr defaultColWidth="12.6640625" defaultRowHeight="15" customHeight="1"/>
  <cols>
    <col min="1" max="1" width="20.88671875" style="1" bestFit="1" customWidth="1"/>
    <col min="2" max="2" width="15.109375" style="1" customWidth="1"/>
    <col min="3" max="3" width="13.77734375" style="1" bestFit="1" customWidth="1"/>
    <col min="4" max="4" width="11.88671875" style="1" bestFit="1" customWidth="1"/>
    <col min="5" max="5" width="24.33203125" style="1" bestFit="1" customWidth="1"/>
    <col min="6" max="6" width="12.21875" style="1" customWidth="1"/>
    <col min="7" max="7" width="12.6640625" style="2"/>
    <col min="8" max="8" width="8.6640625" style="1" customWidth="1"/>
    <col min="9" max="9" width="10.6640625" style="1" customWidth="1"/>
    <col min="10" max="14" width="12.6640625" style="1"/>
    <col min="15" max="15" width="13.33203125" style="1" bestFit="1" customWidth="1"/>
    <col min="16" max="16384" width="12.6640625" style="1"/>
  </cols>
  <sheetData>
    <row r="1" spans="1:18" ht="13.8">
      <c r="A1" s="1" t="s">
        <v>116</v>
      </c>
      <c r="B1" s="1" t="s">
        <v>117</v>
      </c>
      <c r="C1" s="1" t="s">
        <v>0</v>
      </c>
      <c r="D1" s="1" t="s">
        <v>1</v>
      </c>
      <c r="E1" s="1" t="s">
        <v>83</v>
      </c>
      <c r="F1" s="2" t="s">
        <v>2</v>
      </c>
      <c r="G1" s="2" t="s">
        <v>126</v>
      </c>
      <c r="H1" s="1" t="s">
        <v>3</v>
      </c>
      <c r="I1" s="1" t="s">
        <v>4</v>
      </c>
      <c r="J1" s="1" t="s">
        <v>132</v>
      </c>
      <c r="K1" s="1" t="s">
        <v>90</v>
      </c>
      <c r="L1" s="1" t="s">
        <v>91</v>
      </c>
      <c r="M1" s="1" t="s">
        <v>92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</row>
    <row r="2" spans="1:18" ht="15.75" customHeight="1">
      <c r="A2" s="3">
        <v>46050</v>
      </c>
      <c r="B2" s="1" t="s">
        <v>102</v>
      </c>
      <c r="C2" s="1" t="s">
        <v>5</v>
      </c>
      <c r="D2" s="1" t="s">
        <v>6</v>
      </c>
      <c r="E2" s="1" t="str">
        <f>Table5[[#This Row],[Product Name]]&amp;"-"&amp;Table5[[#This Row],[Brand Name]]</f>
        <v>laptop-Dell</v>
      </c>
      <c r="F2" s="2">
        <v>1000</v>
      </c>
      <c r="G2" s="2">
        <f>IF(ISBLANK(F2),AVERAGE(F2:F30),F2)</f>
        <v>1000</v>
      </c>
      <c r="H2" s="1">
        <v>30</v>
      </c>
      <c r="I2" s="1" t="s">
        <v>7</v>
      </c>
    </row>
    <row r="3" spans="1:18" ht="15.75" customHeight="1">
      <c r="A3" s="3">
        <v>46068</v>
      </c>
      <c r="B3" s="1" t="s">
        <v>102</v>
      </c>
      <c r="C3" s="1" t="s">
        <v>8</v>
      </c>
      <c r="D3" s="1" t="s">
        <v>9</v>
      </c>
      <c r="E3" s="1" t="str">
        <f>Table5[[#This Row],[Product Name]]&amp;"-"&amp;Table5[[#This Row],[Brand Name]]</f>
        <v>Sneakers-Nike</v>
      </c>
      <c r="F3" s="2">
        <v>80</v>
      </c>
      <c r="G3" s="2">
        <f t="shared" ref="G3:G33" si="0">IF(ISBLANK(F3),AVERAGE(F3:F31),F3)</f>
        <v>80</v>
      </c>
      <c r="H3" s="1">
        <v>15</v>
      </c>
      <c r="I3" s="1" t="s">
        <v>10</v>
      </c>
      <c r="K3" s="1" t="s">
        <v>66</v>
      </c>
    </row>
    <row r="4" spans="1:18" ht="15.75" customHeight="1">
      <c r="A4" s="3">
        <v>46084</v>
      </c>
      <c r="B4" s="1" t="s">
        <v>102</v>
      </c>
      <c r="C4" s="1" t="s">
        <v>11</v>
      </c>
      <c r="D4" s="1" t="s">
        <v>12</v>
      </c>
      <c r="E4" s="1" t="str">
        <f>Table5[[#This Row],[Product Name]]&amp;"-"&amp;Table5[[#This Row],[Brand Name]]</f>
        <v>Coffee Maker-Keurig</v>
      </c>
      <c r="F4" s="2">
        <v>130</v>
      </c>
      <c r="G4" s="2">
        <f t="shared" si="0"/>
        <v>130</v>
      </c>
      <c r="H4" s="1">
        <v>40</v>
      </c>
      <c r="I4" s="1" t="s">
        <v>13</v>
      </c>
      <c r="K4" s="1" t="s">
        <v>67</v>
      </c>
    </row>
    <row r="5" spans="1:18" ht="15.75" customHeight="1">
      <c r="A5" s="3">
        <v>46123</v>
      </c>
      <c r="B5" s="1" t="s">
        <v>102</v>
      </c>
      <c r="C5" s="1" t="s">
        <v>14</v>
      </c>
      <c r="D5" s="1" t="s">
        <v>15</v>
      </c>
      <c r="E5" s="1" t="str">
        <f>Table5[[#This Row],[Product Name]]&amp;"-"&amp;Table5[[#This Row],[Brand Name]]</f>
        <v>smartphone-Samsung</v>
      </c>
      <c r="F5" s="2">
        <v>900</v>
      </c>
      <c r="G5" s="2">
        <f t="shared" si="0"/>
        <v>900</v>
      </c>
      <c r="H5" s="1">
        <v>25</v>
      </c>
      <c r="I5" s="1" t="s">
        <v>7</v>
      </c>
      <c r="K5" s="1" t="s">
        <v>68</v>
      </c>
    </row>
    <row r="6" spans="1:18" ht="15.75" customHeight="1">
      <c r="A6" s="3">
        <v>46164</v>
      </c>
      <c r="B6" s="1" t="s">
        <v>102</v>
      </c>
      <c r="C6" s="1" t="s">
        <v>16</v>
      </c>
      <c r="D6" s="1" t="s">
        <v>17</v>
      </c>
      <c r="E6" s="1" t="str">
        <f>Table5[[#This Row],[Product Name]]&amp;"-"&amp;Table5[[#This Row],[Brand Name]]</f>
        <v>Backpack-North Face</v>
      </c>
      <c r="F6" s="2">
        <v>70</v>
      </c>
      <c r="G6" s="2">
        <f t="shared" si="0"/>
        <v>70</v>
      </c>
      <c r="H6" s="1">
        <v>20</v>
      </c>
      <c r="I6" s="1" t="s">
        <v>39</v>
      </c>
      <c r="K6" s="4" t="s">
        <v>125</v>
      </c>
    </row>
    <row r="7" spans="1:18" ht="15.75" customHeight="1">
      <c r="A7" s="3">
        <v>46180</v>
      </c>
      <c r="B7" s="1" t="s">
        <v>103</v>
      </c>
      <c r="C7" s="1" t="s">
        <v>18</v>
      </c>
      <c r="D7" s="1" t="s">
        <v>19</v>
      </c>
      <c r="E7" s="1" t="str">
        <f>Table5[[#This Row],[Product Name]]&amp;"-"&amp;Table5[[#This Row],[Brand Name]]</f>
        <v>Headphones-Sony</v>
      </c>
      <c r="F7" s="2"/>
      <c r="G7" s="2">
        <f t="shared" si="0"/>
        <v>291.2</v>
      </c>
      <c r="H7" s="1">
        <v>45</v>
      </c>
      <c r="I7" s="1" t="s">
        <v>7</v>
      </c>
    </row>
    <row r="8" spans="1:18" ht="15.75" customHeight="1">
      <c r="A8" s="3">
        <v>46222</v>
      </c>
      <c r="B8" s="1" t="s">
        <v>103</v>
      </c>
      <c r="C8" s="1" t="s">
        <v>20</v>
      </c>
      <c r="D8" s="1" t="s">
        <v>21</v>
      </c>
      <c r="E8" s="1" t="str">
        <f>Table5[[#This Row],[Product Name]]&amp;"-"&amp;Table5[[#This Row],[Brand Name]]</f>
        <v>T-shirt-Adidas</v>
      </c>
      <c r="F8" s="2">
        <v>30</v>
      </c>
      <c r="G8" s="2">
        <f>IF(ISBLANK(F8),AVERAGE(F8:F35),F8)</f>
        <v>30</v>
      </c>
      <c r="H8" s="1">
        <v>5</v>
      </c>
      <c r="I8" s="1" t="s">
        <v>10</v>
      </c>
      <c r="K8" s="1" t="s">
        <v>69</v>
      </c>
    </row>
    <row r="9" spans="1:18" ht="15.75" customHeight="1">
      <c r="A9" s="3">
        <v>46257</v>
      </c>
      <c r="B9" s="1" t="s">
        <v>103</v>
      </c>
      <c r="C9" s="1" t="s">
        <v>22</v>
      </c>
      <c r="D9" s="1" t="s">
        <v>23</v>
      </c>
      <c r="E9" s="1" t="str">
        <f>Table5[[#This Row],[Product Name]]&amp;"-"&amp;Table5[[#This Row],[Brand Name]]</f>
        <v>Blender-Ninja</v>
      </c>
      <c r="F9" s="2">
        <v>90</v>
      </c>
      <c r="G9" s="2">
        <f>IF(ISBLANK(F9),AVERAGE(F9:F35),F9)</f>
        <v>90</v>
      </c>
      <c r="H9" s="1">
        <v>35</v>
      </c>
      <c r="I9" s="1" t="s">
        <v>13</v>
      </c>
      <c r="K9" s="1" t="s">
        <v>70</v>
      </c>
    </row>
    <row r="10" spans="1:18" ht="15.75" customHeight="1">
      <c r="A10" s="3">
        <v>46270</v>
      </c>
      <c r="B10" s="1" t="s">
        <v>103</v>
      </c>
      <c r="C10" s="1" t="s">
        <v>24</v>
      </c>
      <c r="D10" s="1" t="s">
        <v>25</v>
      </c>
      <c r="E10" s="1" t="str">
        <f>Table5[[#This Row],[Product Name]]&amp;"-"&amp;Table5[[#This Row],[Brand Name]]</f>
        <v>Tablet-Apple</v>
      </c>
      <c r="F10" s="2">
        <v>500</v>
      </c>
      <c r="G10" s="2">
        <f>IF(ISBLANK(F10),AVERAGE(F10:F35),F10)</f>
        <v>500</v>
      </c>
      <c r="H10" s="1">
        <v>50</v>
      </c>
      <c r="I10" s="1" t="s">
        <v>7</v>
      </c>
      <c r="K10" s="5" t="s">
        <v>16</v>
      </c>
      <c r="L10" s="5" t="s">
        <v>17</v>
      </c>
      <c r="M10" s="5">
        <v>70</v>
      </c>
      <c r="N10" s="5">
        <v>20</v>
      </c>
      <c r="O10" s="5" t="s">
        <v>39</v>
      </c>
    </row>
    <row r="11" spans="1:18" ht="15.75" customHeight="1">
      <c r="A11" s="3">
        <v>46190</v>
      </c>
      <c r="B11" s="1" t="s">
        <v>104</v>
      </c>
      <c r="C11" s="1" t="s">
        <v>30</v>
      </c>
      <c r="D11" s="1" t="s">
        <v>31</v>
      </c>
      <c r="E11" s="1" t="str">
        <f>Table5[[#This Row],[Product Name]]&amp;"-"&amp;Table5[[#This Row],[Brand Name]]</f>
        <v>Laptop-HP</v>
      </c>
      <c r="F11" s="2">
        <v>950</v>
      </c>
      <c r="G11" s="2">
        <f>IF(ISBLANK(F11),AVERAGE(F11:F35),F11)</f>
        <v>950</v>
      </c>
      <c r="H11" s="1">
        <v>25</v>
      </c>
      <c r="I11" s="1" t="s">
        <v>7</v>
      </c>
      <c r="K11" s="5" t="s">
        <v>8</v>
      </c>
      <c r="L11" s="5" t="s">
        <v>21</v>
      </c>
      <c r="M11" s="5">
        <v>90</v>
      </c>
      <c r="N11" s="5">
        <v>40</v>
      </c>
      <c r="O11" s="5" t="s">
        <v>10</v>
      </c>
    </row>
    <row r="12" spans="1:18" ht="15.75" customHeight="1">
      <c r="A12" s="3">
        <v>46351</v>
      </c>
      <c r="B12" s="1" t="s">
        <v>105</v>
      </c>
      <c r="C12" s="1" t="s">
        <v>8</v>
      </c>
      <c r="D12" s="1" t="s">
        <v>21</v>
      </c>
      <c r="E12" s="1" t="str">
        <f>Table5[[#This Row],[Product Name]]&amp;"-"&amp;Table5[[#This Row],[Brand Name]]</f>
        <v>Sneakers-Adidas</v>
      </c>
      <c r="F12" s="2">
        <v>90</v>
      </c>
      <c r="G12" s="2">
        <f>IF(ISBLANK(F12),AVERAGE(F12:F35),F12)</f>
        <v>90</v>
      </c>
      <c r="H12" s="1">
        <v>40</v>
      </c>
      <c r="I12" s="1" t="s">
        <v>10</v>
      </c>
      <c r="K12" s="5" t="s">
        <v>11</v>
      </c>
      <c r="L12" s="5" t="s">
        <v>32</v>
      </c>
      <c r="M12" s="5">
        <v>120</v>
      </c>
      <c r="N12" s="5">
        <v>35</v>
      </c>
      <c r="O12" s="5" t="s">
        <v>13</v>
      </c>
    </row>
    <row r="13" spans="1:18" ht="15.75" customHeight="1">
      <c r="A13" s="3">
        <v>46364</v>
      </c>
      <c r="B13" s="1" t="s">
        <v>106</v>
      </c>
      <c r="C13" s="1" t="s">
        <v>11</v>
      </c>
      <c r="D13" s="1" t="s">
        <v>32</v>
      </c>
      <c r="E13" s="1" t="str">
        <f>Table5[[#This Row],[Product Name]]&amp;"-"&amp;Table5[[#This Row],[Brand Name]]</f>
        <v>Coffee Maker-Nespresso</v>
      </c>
      <c r="F13" s="2">
        <v>120</v>
      </c>
      <c r="G13" s="2">
        <f>IF(ISBLANK(F13),AVERAGE(F13:F35),F13)</f>
        <v>120</v>
      </c>
      <c r="H13" s="1">
        <v>35</v>
      </c>
      <c r="I13" s="1" t="s">
        <v>13</v>
      </c>
      <c r="K13" s="5" t="s">
        <v>51</v>
      </c>
      <c r="L13" s="5" t="s">
        <v>52</v>
      </c>
      <c r="M13" s="5">
        <v>150</v>
      </c>
      <c r="N13" s="5">
        <v>30</v>
      </c>
      <c r="O13" s="5" t="s">
        <v>94</v>
      </c>
    </row>
    <row r="14" spans="1:18" ht="15.75" customHeight="1">
      <c r="A14" s="3">
        <v>46071</v>
      </c>
      <c r="B14" s="1" t="s">
        <v>107</v>
      </c>
      <c r="C14" s="1" t="s">
        <v>33</v>
      </c>
      <c r="D14" s="1" t="s">
        <v>34</v>
      </c>
      <c r="E14" s="1" t="str">
        <f>Table5[[#This Row],[Product Name]]&amp;"-"&amp;Table5[[#This Row],[Brand Name]]</f>
        <v>Smartwatch-Fitbit</v>
      </c>
      <c r="F14" s="2">
        <v>150</v>
      </c>
      <c r="G14" s="2">
        <f>IF(ISBLANK(F14),AVERAGE(F14:F35),F14)</f>
        <v>150</v>
      </c>
      <c r="H14" s="1">
        <v>15</v>
      </c>
      <c r="I14" s="1" t="s">
        <v>7</v>
      </c>
      <c r="K14" s="1" t="s">
        <v>122</v>
      </c>
    </row>
    <row r="15" spans="1:18" ht="15.75" customHeight="1">
      <c r="A15" s="3">
        <v>46128</v>
      </c>
      <c r="B15" s="1" t="s">
        <v>108</v>
      </c>
      <c r="C15" s="1" t="s">
        <v>35</v>
      </c>
      <c r="D15" s="1" t="s">
        <v>36</v>
      </c>
      <c r="E15" s="1" t="str">
        <f>Table5[[#This Row],[Product Name]]&amp;"-"&amp;Table5[[#This Row],[Brand Name]]</f>
        <v>headphones-Bose</v>
      </c>
      <c r="F15" s="2">
        <v>250</v>
      </c>
      <c r="G15" s="2">
        <f>IF(ISBLANK(F15),AVERAGE(F15:F35),F15)</f>
        <v>250</v>
      </c>
      <c r="H15" s="1">
        <v>20</v>
      </c>
      <c r="I15" s="1" t="s">
        <v>7</v>
      </c>
    </row>
    <row r="16" spans="1:18" ht="15.75" customHeight="1">
      <c r="A16" s="3">
        <v>46255</v>
      </c>
      <c r="B16" s="1" t="s">
        <v>107</v>
      </c>
      <c r="C16" s="1" t="s">
        <v>37</v>
      </c>
      <c r="D16" s="1" t="s">
        <v>38</v>
      </c>
      <c r="E16" s="1" t="str">
        <f>Table5[[#This Row],[Product Name]]&amp;"-"&amp;Table5[[#This Row],[Brand Name]]</f>
        <v>Laptop Bag-Samsonite</v>
      </c>
      <c r="F16" s="2">
        <v>50</v>
      </c>
      <c r="G16" s="2">
        <f>IF(ISBLANK(F16),AVERAGE(F16:F35),F16)</f>
        <v>50</v>
      </c>
      <c r="H16" s="1">
        <v>35</v>
      </c>
      <c r="I16" s="1" t="s">
        <v>39</v>
      </c>
      <c r="K16" s="1" t="s">
        <v>71</v>
      </c>
    </row>
    <row r="17" spans="1:16" ht="15.75" customHeight="1">
      <c r="A17" s="3">
        <v>46254</v>
      </c>
      <c r="B17" s="1" t="s">
        <v>109</v>
      </c>
      <c r="C17" s="1" t="s">
        <v>33</v>
      </c>
      <c r="D17" s="1" t="s">
        <v>40</v>
      </c>
      <c r="E17" s="1" t="str">
        <f>Table5[[#This Row],[Product Name]]&amp;"-"&amp;Table5[[#This Row],[Brand Name]]</f>
        <v>Smartwatch-Huawei</v>
      </c>
      <c r="F17" s="2">
        <v>160</v>
      </c>
      <c r="G17" s="2">
        <f>IF(ISBLANK(F17),AVERAGE(F17:F35),F17)</f>
        <v>160</v>
      </c>
      <c r="H17" s="1">
        <v>15</v>
      </c>
      <c r="I17" s="1" t="s">
        <v>7</v>
      </c>
      <c r="K17" s="1" t="s">
        <v>72</v>
      </c>
    </row>
    <row r="18" spans="1:16" ht="15.75" customHeight="1">
      <c r="A18" s="3">
        <v>46049</v>
      </c>
      <c r="B18" s="1" t="s">
        <v>110</v>
      </c>
      <c r="C18" s="1" t="s">
        <v>5</v>
      </c>
      <c r="D18" s="1" t="s">
        <v>41</v>
      </c>
      <c r="E18" s="1" t="str">
        <f>Table5[[#This Row],[Product Name]]&amp;"-"&amp;Table5[[#This Row],[Brand Name]]</f>
        <v>laptop-Asus</v>
      </c>
      <c r="F18" s="2">
        <v>980</v>
      </c>
      <c r="G18" s="2">
        <f>IF(ISBLANK(F18),AVERAGE(F18:F35),F18)</f>
        <v>980</v>
      </c>
      <c r="H18" s="1">
        <v>10</v>
      </c>
      <c r="I18" s="1" t="s">
        <v>7</v>
      </c>
      <c r="K18" s="4" t="s">
        <v>93</v>
      </c>
    </row>
    <row r="19" spans="1:16" ht="15.75" customHeight="1">
      <c r="A19" s="3">
        <v>46082</v>
      </c>
      <c r="B19" s="1" t="s">
        <v>103</v>
      </c>
      <c r="C19" s="1" t="s">
        <v>42</v>
      </c>
      <c r="D19" s="1" t="s">
        <v>43</v>
      </c>
      <c r="E19" s="1" t="str">
        <f>Table5[[#This Row],[Product Name]]&amp;"-"&amp;Table5[[#This Row],[Brand Name]]</f>
        <v>Sunglasses-Oakley</v>
      </c>
      <c r="F19" s="2">
        <v>150</v>
      </c>
      <c r="G19" s="2">
        <f>IF(ISBLANK(F19),AVERAGE(F19:F35),F19)</f>
        <v>150</v>
      </c>
      <c r="H19" s="1">
        <v>15</v>
      </c>
      <c r="I19" s="1" t="s">
        <v>10</v>
      </c>
    </row>
    <row r="20" spans="1:16" ht="15.75" customHeight="1">
      <c r="A20" s="3">
        <v>46156</v>
      </c>
      <c r="B20" s="1" t="s">
        <v>111</v>
      </c>
      <c r="C20" s="1" t="s">
        <v>47</v>
      </c>
      <c r="D20" s="1" t="s">
        <v>48</v>
      </c>
      <c r="E20" s="1" t="str">
        <f>Table5[[#This Row],[Product Name]]&amp;"-"&amp;Table5[[#This Row],[Brand Name]]</f>
        <v>Camera-Nikon</v>
      </c>
      <c r="F20" s="2">
        <v>700</v>
      </c>
      <c r="G20" s="2">
        <f>IF(ISBLANK(F20),AVERAGE(F20:F35),F20)</f>
        <v>700</v>
      </c>
      <c r="H20" s="1">
        <v>50</v>
      </c>
      <c r="I20" s="1" t="s">
        <v>7</v>
      </c>
      <c r="K20" s="1" t="s">
        <v>73</v>
      </c>
    </row>
    <row r="21" spans="1:16" ht="15.75" customHeight="1">
      <c r="A21" s="3">
        <v>46031</v>
      </c>
      <c r="B21" s="1" t="s">
        <v>107</v>
      </c>
      <c r="C21" s="1" t="s">
        <v>49</v>
      </c>
      <c r="D21" s="1" t="s">
        <v>50</v>
      </c>
      <c r="E21" s="1" t="str">
        <f>Table5[[#This Row],[Product Name]]&amp;"-"&amp;Table5[[#This Row],[Brand Name]]</f>
        <v>Microwave-Panasonic</v>
      </c>
      <c r="F21" s="2">
        <v>80</v>
      </c>
      <c r="G21" s="2">
        <f>IF(ISBLANK(F21),AVERAGE(F21:F35),F21)</f>
        <v>80</v>
      </c>
      <c r="H21" s="1">
        <v>20</v>
      </c>
      <c r="I21" s="1" t="s">
        <v>13</v>
      </c>
      <c r="K21" s="4" t="s">
        <v>96</v>
      </c>
    </row>
    <row r="22" spans="1:16" ht="15.75" customHeight="1">
      <c r="A22" s="3">
        <v>46222</v>
      </c>
      <c r="B22" s="1" t="s">
        <v>112</v>
      </c>
      <c r="C22" s="1" t="s">
        <v>51</v>
      </c>
      <c r="D22" s="1" t="s">
        <v>52</v>
      </c>
      <c r="E22" s="1" t="str">
        <f>Table5[[#This Row],[Product Name]]&amp;"-"&amp;Table5[[#This Row],[Brand Name]]</f>
        <v>Fitness Tracker-Xiaomi</v>
      </c>
      <c r="F22" s="2">
        <v>150</v>
      </c>
      <c r="G22" s="2">
        <f>IF(ISBLANK(F22),AVERAGE(F22:F35),F22)</f>
        <v>150</v>
      </c>
      <c r="H22" s="1">
        <v>30</v>
      </c>
      <c r="I22" s="1" t="s">
        <v>7</v>
      </c>
    </row>
    <row r="23" spans="1:16" ht="15.75" customHeight="1">
      <c r="A23" s="3">
        <v>46255</v>
      </c>
      <c r="B23" s="1" t="s">
        <v>107</v>
      </c>
      <c r="C23" s="1" t="s">
        <v>37</v>
      </c>
      <c r="D23" s="1" t="s">
        <v>38</v>
      </c>
      <c r="E23" s="1" t="str">
        <f>Table5[[#This Row],[Product Name]]&amp;"-"&amp;Table5[[#This Row],[Brand Name]]</f>
        <v>Laptop Bag-Samsonite</v>
      </c>
      <c r="F23" s="2">
        <v>50</v>
      </c>
      <c r="G23" s="2">
        <f>IF(ISBLANK(F23),AVERAGE(F23:F35),F23)</f>
        <v>50</v>
      </c>
      <c r="H23" s="1">
        <v>35</v>
      </c>
      <c r="I23" s="1" t="s">
        <v>39</v>
      </c>
      <c r="K23" s="1" t="s">
        <v>74</v>
      </c>
    </row>
    <row r="24" spans="1:16" ht="15.75" customHeight="1">
      <c r="A24" s="3">
        <v>46294</v>
      </c>
      <c r="B24" s="1" t="s">
        <v>107</v>
      </c>
      <c r="C24" s="1" t="s">
        <v>53</v>
      </c>
      <c r="D24" s="1" t="s">
        <v>54</v>
      </c>
      <c r="E24" s="1" t="str">
        <f>Table5[[#This Row],[Product Name]]&amp;"-"&amp;Table5[[#This Row],[Brand Name]]</f>
        <v>Smartphone-Google</v>
      </c>
      <c r="F24" s="2">
        <v>800</v>
      </c>
      <c r="G24" s="2">
        <f>IF(ISBLANK(F24),AVERAGE(F24:F52),F24)</f>
        <v>800</v>
      </c>
      <c r="H24" s="1">
        <v>45</v>
      </c>
      <c r="I24" s="1" t="s">
        <v>7</v>
      </c>
      <c r="K24" s="1" t="s">
        <v>75</v>
      </c>
    </row>
    <row r="25" spans="1:16" ht="15.75" customHeight="1">
      <c r="A25" s="3">
        <v>46176</v>
      </c>
      <c r="B25" s="1" t="s">
        <v>107</v>
      </c>
      <c r="C25" s="1" t="s">
        <v>42</v>
      </c>
      <c r="D25" s="1" t="s">
        <v>55</v>
      </c>
      <c r="E25" s="1" t="str">
        <f>Table5[[#This Row],[Product Name]]&amp;"-"&amp;Table5[[#This Row],[Brand Name]]</f>
        <v>Sunglasses-Ray-Ban</v>
      </c>
      <c r="F25" s="2"/>
      <c r="G25" s="2">
        <f t="shared" si="0"/>
        <v>247.5</v>
      </c>
      <c r="H25" s="1">
        <v>25</v>
      </c>
      <c r="I25" s="1" t="s">
        <v>10</v>
      </c>
      <c r="K25" s="4" t="s">
        <v>114</v>
      </c>
    </row>
    <row r="26" spans="1:16" ht="15.75" customHeight="1">
      <c r="A26" s="3">
        <v>46214</v>
      </c>
      <c r="B26" s="1" t="s">
        <v>107</v>
      </c>
      <c r="C26" s="1" t="s">
        <v>22</v>
      </c>
      <c r="D26" s="1" t="s">
        <v>56</v>
      </c>
      <c r="E26" s="1" t="str">
        <f>Table5[[#This Row],[Product Name]]&amp;"-"&amp;Table5[[#This Row],[Brand Name]]</f>
        <v>Blender-Vitamix</v>
      </c>
      <c r="F26" s="2">
        <v>400</v>
      </c>
      <c r="G26" s="2">
        <f t="shared" si="0"/>
        <v>400</v>
      </c>
      <c r="H26" s="1">
        <v>40</v>
      </c>
      <c r="I26" s="1" t="s">
        <v>13</v>
      </c>
      <c r="K26" s="4" t="s">
        <v>115</v>
      </c>
    </row>
    <row r="27" spans="1:16" ht="15.75" customHeight="1">
      <c r="A27" s="3">
        <v>46128</v>
      </c>
      <c r="B27" s="1" t="s">
        <v>108</v>
      </c>
      <c r="C27" s="1" t="s">
        <v>35</v>
      </c>
      <c r="D27" s="1" t="s">
        <v>36</v>
      </c>
      <c r="E27" s="1" t="str">
        <f>Table5[[#This Row],[Product Name]]&amp;"-"&amp;Table5[[#This Row],[Brand Name]]</f>
        <v>headphones-Bose</v>
      </c>
      <c r="F27" s="2">
        <v>250</v>
      </c>
      <c r="G27" s="2">
        <f t="shared" si="0"/>
        <v>250</v>
      </c>
      <c r="H27" s="1">
        <v>20</v>
      </c>
      <c r="I27" s="1" t="s">
        <v>7</v>
      </c>
    </row>
    <row r="28" spans="1:16" ht="15.75" customHeight="1">
      <c r="A28" s="3">
        <v>46088</v>
      </c>
      <c r="B28" s="1" t="s">
        <v>107</v>
      </c>
      <c r="C28" s="1" t="s">
        <v>57</v>
      </c>
      <c r="D28" s="1" t="s">
        <v>58</v>
      </c>
      <c r="E28" s="1" t="str">
        <f>Table5[[#This Row],[Product Name]]&amp;"-"&amp;Table5[[#This Row],[Brand Name]]</f>
        <v>Dress-Zara</v>
      </c>
      <c r="F28" s="2">
        <v>60</v>
      </c>
      <c r="G28" s="2">
        <f t="shared" si="0"/>
        <v>60</v>
      </c>
      <c r="H28" s="1">
        <v>30</v>
      </c>
      <c r="I28" s="1" t="s">
        <v>10</v>
      </c>
      <c r="K28" s="1" t="s">
        <v>76</v>
      </c>
    </row>
    <row r="29" spans="1:16" ht="15.75" customHeight="1">
      <c r="A29" s="3">
        <v>46125</v>
      </c>
      <c r="B29" s="1" t="s">
        <v>107</v>
      </c>
      <c r="C29" s="1" t="s">
        <v>59</v>
      </c>
      <c r="D29" s="1" t="s">
        <v>60</v>
      </c>
      <c r="E29" s="1" t="str">
        <f>Table5[[#This Row],[Product Name]]&amp;"-"&amp;Table5[[#This Row],[Brand Name]]</f>
        <v>Toaster-Hamilton</v>
      </c>
      <c r="F29" s="2">
        <v>40</v>
      </c>
      <c r="G29" s="2">
        <f t="shared" si="0"/>
        <v>40</v>
      </c>
      <c r="H29" s="1">
        <v>10</v>
      </c>
      <c r="I29" s="1" t="s">
        <v>13</v>
      </c>
      <c r="K29" s="1" t="s">
        <v>77</v>
      </c>
    </row>
    <row r="30" spans="1:16" ht="15.75" customHeight="1">
      <c r="A30" s="3">
        <v>46166</v>
      </c>
      <c r="B30" s="1" t="s">
        <v>107</v>
      </c>
      <c r="C30" s="1" t="s">
        <v>51</v>
      </c>
      <c r="D30" s="1" t="s">
        <v>61</v>
      </c>
      <c r="E30" s="1" t="str">
        <f>Table5[[#This Row],[Product Name]]&amp;"-"&amp;Table5[[#This Row],[Brand Name]]</f>
        <v>Fitness Tracker-Garmin</v>
      </c>
      <c r="F30" s="2">
        <v>130</v>
      </c>
      <c r="G30" s="2">
        <f>IF(ISBLANK(F30),AVERAGE(F30:F58),F30)</f>
        <v>130</v>
      </c>
      <c r="H30" s="1">
        <v>5</v>
      </c>
      <c r="I30" s="1" t="s">
        <v>7</v>
      </c>
      <c r="K30" s="1" t="s">
        <v>78</v>
      </c>
    </row>
    <row r="31" spans="1:16" ht="15.75" customHeight="1">
      <c r="A31" s="3">
        <v>46358</v>
      </c>
      <c r="B31" s="1" t="s">
        <v>107</v>
      </c>
      <c r="C31" s="1" t="s">
        <v>62</v>
      </c>
      <c r="D31" s="1" t="s">
        <v>63</v>
      </c>
      <c r="E31" s="1" t="str">
        <f>Table5[[#This Row],[Product Name]]&amp;"-"&amp;Table5[[#This Row],[Brand Name]]</f>
        <v>Jeans-Levi's</v>
      </c>
      <c r="F31" s="2">
        <v>50</v>
      </c>
      <c r="G31" s="2">
        <f t="shared" si="0"/>
        <v>50</v>
      </c>
      <c r="H31" s="1">
        <v>50</v>
      </c>
      <c r="I31" s="1" t="s">
        <v>10</v>
      </c>
      <c r="K31" s="5" t="s">
        <v>44</v>
      </c>
      <c r="L31" s="5" t="s">
        <v>45</v>
      </c>
      <c r="M31" s="5" t="s">
        <v>46</v>
      </c>
      <c r="N31" s="5"/>
      <c r="O31" s="5">
        <v>10</v>
      </c>
      <c r="P31" s="5" t="s">
        <v>29</v>
      </c>
    </row>
    <row r="32" spans="1:16" ht="15.75" customHeight="1">
      <c r="A32" s="3">
        <v>46190</v>
      </c>
      <c r="B32" s="1" t="s">
        <v>104</v>
      </c>
      <c r="C32" s="1" t="s">
        <v>30</v>
      </c>
      <c r="D32" s="1" t="s">
        <v>31</v>
      </c>
      <c r="E32" s="1" t="str">
        <f>Table5[[#This Row],[Product Name]]&amp;"-"&amp;Table5[[#This Row],[Brand Name]]</f>
        <v>Laptop-HP</v>
      </c>
      <c r="F32" s="2">
        <v>950</v>
      </c>
      <c r="G32" s="2">
        <f t="shared" si="0"/>
        <v>950</v>
      </c>
      <c r="H32" s="1">
        <v>25</v>
      </c>
      <c r="I32" s="1" t="s">
        <v>7</v>
      </c>
      <c r="K32" s="5" t="s">
        <v>26</v>
      </c>
      <c r="L32" s="5" t="s">
        <v>27</v>
      </c>
      <c r="M32" s="5" t="s">
        <v>28</v>
      </c>
      <c r="N32" s="5">
        <v>130</v>
      </c>
      <c r="O32" s="5">
        <v>10</v>
      </c>
      <c r="P32" s="5" t="s">
        <v>29</v>
      </c>
    </row>
    <row r="33" spans="1:11" ht="15.75" customHeight="1">
      <c r="A33" s="3">
        <v>46212</v>
      </c>
      <c r="B33" s="1" t="s">
        <v>113</v>
      </c>
      <c r="C33" s="1" t="s">
        <v>64</v>
      </c>
      <c r="D33" s="1" t="s">
        <v>65</v>
      </c>
      <c r="E33" s="1" t="str">
        <f>Table5[[#This Row],[Product Name]]&amp;"-"&amp;Table5[[#This Row],[Brand Name]]</f>
        <v>Watch-Casio</v>
      </c>
      <c r="F33" s="2">
        <v>100</v>
      </c>
      <c r="G33" s="2">
        <f t="shared" si="0"/>
        <v>100</v>
      </c>
      <c r="H33" s="1">
        <v>20</v>
      </c>
      <c r="I33" s="1" t="s">
        <v>39</v>
      </c>
      <c r="K33" s="1" t="s">
        <v>89</v>
      </c>
    </row>
    <row r="34" spans="1:11" ht="15.75" customHeight="1">
      <c r="A34" s="3"/>
    </row>
    <row r="35" spans="1:11" ht="15.75" customHeight="1">
      <c r="A35" s="3"/>
      <c r="K35" s="1" t="s">
        <v>79</v>
      </c>
    </row>
    <row r="36" spans="1:11" ht="15.75" customHeight="1">
      <c r="B36" s="1" t="s">
        <v>84</v>
      </c>
      <c r="G36" s="1"/>
      <c r="K36" s="1" t="s">
        <v>80</v>
      </c>
    </row>
    <row r="37" spans="1:11" ht="15.75" customHeight="1">
      <c r="B37" s="1" t="s">
        <v>85</v>
      </c>
      <c r="G37" s="1"/>
      <c r="K37" s="1" t="s">
        <v>81</v>
      </c>
    </row>
    <row r="38" spans="1:11" ht="15.75" customHeight="1">
      <c r="B38" s="4" t="s">
        <v>119</v>
      </c>
      <c r="G38" s="1"/>
      <c r="K38" s="4" t="s">
        <v>127</v>
      </c>
    </row>
    <row r="39" spans="1:11" ht="15.75" customHeight="1">
      <c r="G39" s="1"/>
      <c r="K39" s="4" t="s">
        <v>128</v>
      </c>
    </row>
    <row r="40" spans="1:11" ht="15.75" customHeight="1">
      <c r="B40" s="1" t="s">
        <v>86</v>
      </c>
      <c r="G40" s="1"/>
    </row>
    <row r="41" spans="1:11" ht="15.75" customHeight="1">
      <c r="B41" s="1" t="s">
        <v>87</v>
      </c>
      <c r="G41" s="1"/>
      <c r="K41" s="1" t="s">
        <v>82</v>
      </c>
    </row>
    <row r="42" spans="1:11" ht="15.75" customHeight="1">
      <c r="B42" s="4" t="s">
        <v>120</v>
      </c>
      <c r="G42" s="1"/>
      <c r="K42" s="1" t="s">
        <v>83</v>
      </c>
    </row>
    <row r="43" spans="1:11" ht="15.75" customHeight="1">
      <c r="B43" s="4" t="s">
        <v>121</v>
      </c>
      <c r="G43" s="1"/>
      <c r="K43" s="4" t="s">
        <v>118</v>
      </c>
    </row>
    <row r="44" spans="1:11" ht="15.75" customHeight="1">
      <c r="G44" s="1"/>
    </row>
    <row r="45" spans="1:11" ht="15.75" customHeight="1">
      <c r="B45" s="1" t="s">
        <v>88</v>
      </c>
      <c r="G45" s="1"/>
    </row>
    <row r="46" spans="1:11" ht="15.75" customHeight="1">
      <c r="B46" s="1" t="s">
        <v>129</v>
      </c>
      <c r="G46" s="1"/>
    </row>
    <row r="47" spans="1:11" ht="15.75" customHeight="1">
      <c r="B47" s="4" t="s">
        <v>131</v>
      </c>
      <c r="G47" s="1"/>
    </row>
    <row r="48" spans="1:11" ht="15.75" customHeight="1">
      <c r="G48" s="1"/>
    </row>
    <row r="49" spans="2:7" ht="15.75" customHeight="1">
      <c r="B49" s="1" t="s">
        <v>130</v>
      </c>
      <c r="G49" s="1"/>
    </row>
    <row r="50" spans="2:7" ht="15.75" customHeight="1">
      <c r="B50" s="1" t="s">
        <v>95</v>
      </c>
      <c r="G50" s="1"/>
    </row>
    <row r="51" spans="2:7" ht="15.75" customHeight="1">
      <c r="B51" s="4" t="s">
        <v>123</v>
      </c>
      <c r="G51" s="1"/>
    </row>
    <row r="52" spans="2:7" ht="15.75" customHeight="1">
      <c r="B52" s="4" t="s">
        <v>124</v>
      </c>
      <c r="G52" s="1"/>
    </row>
    <row r="53" spans="2:7" ht="15.75" customHeight="1"/>
    <row r="54" spans="2:7" ht="15.75" customHeight="1"/>
    <row r="55" spans="2:7" ht="15.75" customHeight="1"/>
    <row r="56" spans="2:7" ht="15.75" customHeight="1"/>
    <row r="57" spans="2:7" ht="15.75" customHeight="1"/>
    <row r="58" spans="2:7" ht="15.75" customHeight="1"/>
    <row r="59" spans="2:7" ht="15.75" customHeight="1"/>
    <row r="60" spans="2:7" ht="15.75" customHeight="1"/>
    <row r="61" spans="2:7" ht="15.75" customHeight="1"/>
    <row r="62" spans="2:7" ht="15.75" customHeight="1"/>
    <row r="63" spans="2:7" ht="15.75" customHeight="1"/>
    <row r="64" spans="2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G2:G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{DA1551FD-F51D-4B4B-A3C7-3AA39B2B167A}</x14:id>
        </ext>
      </extLst>
    </cfRule>
  </conditionalFormatting>
  <conditionalFormatting sqref="I2:I33 I36:I1048576">
    <cfRule type="containsText" dxfId="21" priority="3" operator="containsText" text="Electronics">
      <formula>NOT(ISERROR(SEARCH("Electronics",I2)))</formula>
    </cfRule>
    <cfRule type="containsText" dxfId="20" priority="4" operator="containsText" text="Electronics">
      <formula>NOT(ISERROR(SEARCH("Electronics",I2)))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551FD-F51D-4B4B-A3C7-3AA39B2B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42562-1810-4D68-9ED3-E5FB8E771F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pavithra nataraj</cp:lastModifiedBy>
  <dcterms:created xsi:type="dcterms:W3CDTF">2026-07-23T14:43:37Z</dcterms:created>
  <dcterms:modified xsi:type="dcterms:W3CDTF">2026-09-30T14:19:05Z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