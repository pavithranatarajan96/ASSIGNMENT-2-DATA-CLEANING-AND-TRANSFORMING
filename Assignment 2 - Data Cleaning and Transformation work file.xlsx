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4560c99ae264b73/Desktop/"/>
    </mc:Choice>
  </mc:AlternateContent>
  <xr:revisionPtr revIDLastSave="0" documentId="8_{37CCDD91-3E12-4B1D-B438-41D0D34F9DAA}" xr6:coauthVersionLast="47" xr6:coauthVersionMax="47" xr10:uidLastSave="{00000000-0000-0000-0000-000000000000}"/>
  <bookViews>
    <workbookView xWindow="-108" yWindow="-108" windowWidth="23256" windowHeight="12456" xr2:uid="{71051013-1A7F-4B1A-ACE1-7BC8A02C58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<sst xmlns="http://schemas.openxmlformats.org/spreadsheetml/2006/main" count="208" uniqueCount="133">
  <si>
    <t>Manufacturing Date</t>
  </si>
  <si>
    <t>Country Code</t>
  </si>
  <si>
    <t>Product Name</t>
  </si>
  <si>
    <t>Brand Name</t>
  </si>
  <si>
    <t>Product Brand.</t>
  </si>
  <si>
    <t>Price ($)</t>
  </si>
  <si>
    <t>AVERAGE</t>
  </si>
  <si>
    <t>Quantity</t>
  </si>
  <si>
    <t>Category</t>
  </si>
  <si>
    <t>Column1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</si>
  <si>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</si>
  <si>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</si>
  <si>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</si>
  <si>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</si>
  <si>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</si>
  <si>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</si>
  <si>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</si>
  <si>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</si>
  <si>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US</t>
  </si>
  <si>
    <t>laptop</t>
  </si>
  <si>
    <t>Dell</t>
  </si>
  <si>
    <t>Electronics</t>
  </si>
  <si>
    <t>Sneakers</t>
  </si>
  <si>
    <t>Nike</t>
  </si>
  <si>
    <t>Fashion</t>
  </si>
  <si>
    <t>1. Handling Missing Values:</t>
  </si>
  <si>
    <t>Coffee Maker</t>
  </si>
  <si>
    <t>Keurig</t>
  </si>
  <si>
    <t>Kitchen</t>
  </si>
  <si>
    <t>● Check for missing values in the 'Price' column. How would you handle products with</t>
  </si>
  <si>
    <t>smartphone</t>
  </si>
  <si>
    <t>Samsung</t>
  </si>
  <si>
    <t>missing price information?</t>
  </si>
  <si>
    <t>Backpack</t>
  </si>
  <si>
    <t>North Face</t>
  </si>
  <si>
    <t>Accessories</t>
  </si>
  <si>
    <t>IF(ISBLANK(F2),AVERAGE(F2:F32),F2)</t>
  </si>
  <si>
    <t>UK</t>
  </si>
  <si>
    <t>Headphones</t>
  </si>
  <si>
    <t>Sony</t>
  </si>
  <si>
    <t>T-shirt</t>
  </si>
  <si>
    <t>Adidas</t>
  </si>
  <si>
    <t>● If there are products with missing categories, propose a strategy to impute or deal</t>
  </si>
  <si>
    <t>Blender</t>
  </si>
  <si>
    <t>Ninja</t>
  </si>
  <si>
    <t>with these missing values effectively.</t>
  </si>
  <si>
    <t>Tablet</t>
  </si>
  <si>
    <t>Apple</t>
  </si>
  <si>
    <t>IN</t>
  </si>
  <si>
    <t>Laptop</t>
  </si>
  <si>
    <t>HP</t>
  </si>
  <si>
    <t>AU</t>
  </si>
  <si>
    <t>Nespresso</t>
  </si>
  <si>
    <t>DE</t>
  </si>
  <si>
    <t>Fitness Tracker</t>
  </si>
  <si>
    <t>Xiaomi</t>
  </si>
  <si>
    <t>Electronicscs</t>
  </si>
  <si>
    <t>CA</t>
  </si>
  <si>
    <t>Smartwatch</t>
  </si>
  <si>
    <t>Fitbit</t>
  </si>
  <si>
    <t>due to small amount of data manually change into category</t>
  </si>
  <si>
    <t>ES</t>
  </si>
  <si>
    <t>headphones</t>
  </si>
  <si>
    <t>Bose</t>
  </si>
  <si>
    <t>Laptop Bag</t>
  </si>
  <si>
    <t>Samsonite</t>
  </si>
  <si>
    <t>2. Correcting Inconsistent Data:</t>
  </si>
  <si>
    <t>CN</t>
  </si>
  <si>
    <t>Huawei</t>
  </si>
  <si>
    <t>● Identify any inconsistent text formats present in the "Product Name" column.</t>
  </si>
  <si>
    <t>IT</t>
  </si>
  <si>
    <t>Asus</t>
  </si>
  <si>
    <t>USING FILTER OPTION I FIND OUT THE WORD IS HIKING BOOTS, CAMPING TENT</t>
  </si>
  <si>
    <t>Sunglasses</t>
  </si>
  <si>
    <t>Oakley</t>
  </si>
  <si>
    <t>RU</t>
  </si>
  <si>
    <t>Camera</t>
  </si>
  <si>
    <t>Nikon</t>
  </si>
  <si>
    <t>● Identify any typos present in the "Category" column.</t>
  </si>
  <si>
    <t>Microwave</t>
  </si>
  <si>
    <t>Panasonic</t>
  </si>
  <si>
    <t>Electronics word mentioned as Electroni</t>
  </si>
  <si>
    <t>BR</t>
  </si>
  <si>
    <t>● Use the find and replace function to standardize the text formats in the "Product</t>
  </si>
  <si>
    <t>Smartphone</t>
  </si>
  <si>
    <t>Google</t>
  </si>
  <si>
    <t>Name" column and fix any typos or misspellings in the "Category" column.</t>
  </si>
  <si>
    <t>Ray-Ban</t>
  </si>
  <si>
    <t>Using power query mode the data got clean, trim, captalized</t>
  </si>
  <si>
    <t>Vitamix</t>
  </si>
  <si>
    <t xml:space="preserve"> using find and replace the word Electroni change into Electronics</t>
  </si>
  <si>
    <t>Dress</t>
  </si>
  <si>
    <t>Zara</t>
  </si>
  <si>
    <t>3. Removing Duplicates:</t>
  </si>
  <si>
    <t>Toaster</t>
  </si>
  <si>
    <t>Hamilton</t>
  </si>
  <si>
    <t>● Identify any duplicate rows within the dataset based on the entirety of each row, and</t>
  </si>
  <si>
    <t>Garmin</t>
  </si>
  <si>
    <t>remove them if any.</t>
  </si>
  <si>
    <t>Jeans</t>
  </si>
  <si>
    <t>Levi's</t>
  </si>
  <si>
    <t>14-AUG-US</t>
  </si>
  <si>
    <t>Camping Tent</t>
  </si>
  <si>
    <t>Coleman</t>
  </si>
  <si>
    <t>Outdoor</t>
  </si>
  <si>
    <t>14-OCT-UK</t>
  </si>
  <si>
    <t>Hiking Boots</t>
  </si>
  <si>
    <t>Timberland</t>
  </si>
  <si>
    <t>FR</t>
  </si>
  <si>
    <t>Watch</t>
  </si>
  <si>
    <t>Casio</t>
  </si>
  <si>
    <t>I find that this row is duplicate</t>
  </si>
  <si>
    <t>4. Splitting and Merging Data:</t>
  </si>
  <si>
    <t>5. Number Formatting:</t>
  </si>
  <si>
    <t>● Split the "Product ID" column into two separate columns for " Manufacturing Date"</t>
  </si>
  <si>
    <t>● Format the data type of the "Price" column to a currency format.</t>
  </si>
  <si>
    <t>and "Country Code". Remove unnecessary characters, if any.</t>
  </si>
  <si>
    <t>Select price column and in home tab change general into currency</t>
  </si>
  <si>
    <t xml:space="preserve">Using power query mode the data got splited into 2 cloumn </t>
  </si>
  <si>
    <t>using split colum option and in right function and - spicifation</t>
  </si>
  <si>
    <t>● Format the "Manufacturing Date" column to display dates in the "DD-MM-YYYY "</t>
  </si>
  <si>
    <t>format.</t>
  </si>
  <si>
    <t>● Merge the "Brand Name" and "Product Name" columns into one column named</t>
  </si>
  <si>
    <t xml:space="preserve">After spliting the date and country in power query mode date autometically </t>
  </si>
  <si>
    <t>change into DD-MM-YYY format</t>
  </si>
  <si>
    <t>[@[Product Name]]&amp;"-"&amp;[@[Brand Name]]</t>
  </si>
  <si>
    <t>6. Conditional Formatting:</t>
  </si>
  <si>
    <t xml:space="preserve">● Apply data bar or color scales conditional formatting in the "Price" column. </t>
  </si>
  <si>
    <t>In home tab conditional formating option - data bar - gradient fil</t>
  </si>
  <si>
    <t>● Create a custom rule for conditional formatting in the "Category" column to highlight cells where</t>
  </si>
  <si>
    <t>the category is "Electronicscs."</t>
  </si>
  <si>
    <t>In home tab conditional formating option - heighlight cell rules - text that contains</t>
  </si>
  <si>
    <t>mentioned eletronic and pefered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</si>
</sst>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5117038483843"/>
        <bgColor theme="4" tint="0.79995117038483843"/>
      </patternFill>
    </fill>
  </fills>
  <borders count="8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4506668294322"/>
      </bottom>
      <diagonal/>
    </border>
    <border>
      <left/>
      <right/>
      <top style="thin">
        <color theme="4"/>
      </top>
      <bottom style="thin">
        <color theme="4" tint="0.39994506668294322"/>
      </bottom>
      <diagonal/>
    </border>
    <border>
      <left/>
      <right style="thin">
        <color theme="4"/>
      </right>
      <top style="thin">
        <color theme="4"/>
      </top>
      <bottom style="thin">
        <color theme="4" tint="0.39994506668294322"/>
      </bottom>
      <diagonal/>
    </border>
    <border>
      <left style="thin">
        <color theme="4"/>
      </left>
      <right/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theme="4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164" fontId="2" fillId="2" borderId="2" xfId="0" applyNumberFormat="1" applyFont="1" applyFill="1" applyBorder="1"/>
    <xf numFmtId="0" fontId="2" fillId="2" borderId="3" xfId="0" applyFont="1" applyFill="1" applyBorder="1"/>
    <xf numFmtId="14" fontId="1" fillId="3" borderId="4" xfId="0" applyNumberFormat="1" applyFont="1" applyFill="1" applyBorder="1"/>
    <xf numFmtId="0" fontId="1" fillId="3" borderId="5" xfId="0" applyFont="1" applyFill="1" applyBorder="1"/>
    <xf numFmtId="164" fontId="1" fillId="3" borderId="5" xfId="0" applyNumberFormat="1" applyFont="1" applyFill="1" applyBorder="1"/>
    <xf numFmtId="0" fontId="1" fillId="3" borderId="6" xfId="0" applyFont="1" applyFill="1" applyBorder="1"/>
    <xf numFmtId="14" fontId="1" fillId="0" borderId="4" xfId="0" applyNumberFormat="1" applyFont="1" applyBorder="1"/>
    <xf numFmtId="0" fontId="1" fillId="0" borderId="5" xfId="0" applyFont="1" applyBorder="1"/>
    <xf numFmtId="164" fontId="1" fillId="0" borderId="5" xfId="0" applyNumberFormat="1" applyFont="1" applyBorder="1"/>
    <xf numFmtId="0" fontId="1" fillId="0" borderId="6" xfId="0" applyFont="1" applyBorder="1"/>
    <xf numFmtId="0" fontId="3" fillId="3" borderId="5" xfId="0" applyFont="1" applyFill="1" applyBorder="1"/>
    <xf numFmtId="0" fontId="3" fillId="3" borderId="7" xfId="0" applyFont="1" applyFill="1" applyBorder="1"/>
    <xf numFmtId="0" fontId="3" fillId="0" borderId="7" xfId="0" applyFont="1" applyBorder="1"/>
    <xf numFmtId="0" fontId="3" fillId="0" borderId="5" xfId="0" applyFont="1" applyBorder="1"/>
    <xf numFmtId="0" fontId="1" fillId="3" borderId="4" xfId="0" applyFont="1" applyFill="1" applyBorder="1"/>
    <xf numFmtId="0" fontId="1" fillId="0" borderId="4" xfId="0" applyFont="1" applyBorder="1"/>
    <xf numFmtId="0" fontId="2" fillId="2" borderId="2" xfId="0" applyNumberFormat="1" applyFont="1" applyFill="1" applyBorder="1"/>
    <xf numFmtId="0" fontId="1" fillId="3" borderId="5" xfId="0" applyNumberFormat="1" applyFont="1" applyFill="1" applyBorder="1"/>
    <xf numFmtId="0" fontId="1" fillId="0" borderId="5" xfId="0" applyNumberFormat="1" applyFont="1" applyBorder="1"/>
    <xf numFmtId="0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8145C-88C9-422D-BA11-000E3BA05D31}">
  <dimension ref="A1:R54"/>
  <sheetViews>
    <sheetView tabSelected="1" workbookViewId="0">
      <selection activeCell="M23" sqref="M23"/>
    </sheetView>
  </sheetViews>
  <sheetFormatPr defaultRowHeight="14.4" x14ac:dyDescent="0.3"/>
  <cols>
    <col min="1" max="1" width="18.109375" bestFit="1" customWidth="1"/>
    <col min="3" max="3" width="13.21875" bestFit="1" customWidth="1"/>
    <col min="4" max="4" width="11.44140625" bestFit="1" customWidth="1"/>
    <col min="5" max="5" width="21.6640625" bestFit="1" customWidth="1"/>
    <col min="6" max="6" width="11.77734375" customWidth="1"/>
    <col min="7" max="7" width="9.44140625" bestFit="1" customWidth="1"/>
    <col min="8" max="8" width="8.88671875" style="22"/>
    <col min="9" max="9" width="10.44140625" bestFit="1" customWidth="1"/>
  </cols>
  <sheetData>
    <row r="1" spans="1:1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19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</row>
    <row r="2" spans="1:18" x14ac:dyDescent="0.3">
      <c r="A2" s="5">
        <v>46050</v>
      </c>
      <c r="B2" s="6" t="s">
        <v>18</v>
      </c>
      <c r="C2" s="6" t="s">
        <v>19</v>
      </c>
      <c r="D2" s="6" t="s">
        <v>20</v>
      </c>
      <c r="E2" s="6" t="str">
        <f>C2&amp;"-"&amp;D2</f>
        <v>laptop-Dell</v>
      </c>
      <c r="F2" s="7">
        <v>1000</v>
      </c>
      <c r="G2" s="7">
        <f>IF(ISBLANK(F2),AVERAGE(F2:F30),F2)</f>
        <v>1000</v>
      </c>
      <c r="H2" s="20">
        <v>30</v>
      </c>
      <c r="I2" s="6" t="s">
        <v>21</v>
      </c>
      <c r="J2" s="6"/>
      <c r="K2" s="6"/>
      <c r="L2" s="6"/>
      <c r="M2" s="6"/>
      <c r="N2" s="6"/>
      <c r="O2" s="6"/>
      <c r="P2" s="6"/>
      <c r="Q2" s="6"/>
      <c r="R2" s="8"/>
    </row>
    <row r="3" spans="1:18" x14ac:dyDescent="0.3">
      <c r="A3" s="9">
        <v>46068</v>
      </c>
      <c r="B3" s="10" t="s">
        <v>18</v>
      </c>
      <c r="C3" s="10" t="s">
        <v>22</v>
      </c>
      <c r="D3" s="10" t="s">
        <v>23</v>
      </c>
      <c r="E3" s="6" t="str">
        <f t="shared" ref="E3:E33" si="0">C3&amp;"-"&amp;D3</f>
        <v>Sneakers-Nike</v>
      </c>
      <c r="F3" s="11">
        <v>80</v>
      </c>
      <c r="G3" s="11">
        <f t="shared" ref="G3:G33" si="1">IF(ISBLANK(F3),AVERAGE(F3:F31),F3)</f>
        <v>80</v>
      </c>
      <c r="H3" s="21">
        <v>15</v>
      </c>
      <c r="I3" s="10" t="s">
        <v>24</v>
      </c>
      <c r="J3" s="10"/>
      <c r="K3" s="10" t="s">
        <v>25</v>
      </c>
      <c r="L3" s="10"/>
      <c r="M3" s="10"/>
      <c r="N3" s="10"/>
      <c r="O3" s="10"/>
      <c r="P3" s="10"/>
      <c r="Q3" s="10"/>
      <c r="R3" s="12"/>
    </row>
    <row r="4" spans="1:18" x14ac:dyDescent="0.3">
      <c r="A4" s="5">
        <v>46084</v>
      </c>
      <c r="B4" s="6" t="s">
        <v>18</v>
      </c>
      <c r="C4" s="6" t="s">
        <v>26</v>
      </c>
      <c r="D4" s="6" t="s">
        <v>27</v>
      </c>
      <c r="E4" s="6" t="str">
        <f t="shared" si="0"/>
        <v>Coffee Maker-Keurig</v>
      </c>
      <c r="F4" s="7">
        <v>130</v>
      </c>
      <c r="G4" s="7">
        <f t="shared" si="1"/>
        <v>130</v>
      </c>
      <c r="H4" s="20">
        <v>40</v>
      </c>
      <c r="I4" s="6" t="s">
        <v>28</v>
      </c>
      <c r="J4" s="6"/>
      <c r="K4" s="6" t="s">
        <v>29</v>
      </c>
      <c r="L4" s="6"/>
      <c r="M4" s="6"/>
      <c r="N4" s="6"/>
      <c r="O4" s="6"/>
      <c r="P4" s="6"/>
      <c r="Q4" s="6"/>
      <c r="R4" s="8"/>
    </row>
    <row r="5" spans="1:18" x14ac:dyDescent="0.3">
      <c r="A5" s="9">
        <v>46123</v>
      </c>
      <c r="B5" s="10" t="s">
        <v>18</v>
      </c>
      <c r="C5" s="10" t="s">
        <v>30</v>
      </c>
      <c r="D5" s="10" t="s">
        <v>31</v>
      </c>
      <c r="E5" s="6" t="str">
        <f t="shared" si="0"/>
        <v>smartphone-Samsung</v>
      </c>
      <c r="F5" s="11">
        <v>900</v>
      </c>
      <c r="G5" s="11">
        <f t="shared" si="1"/>
        <v>900</v>
      </c>
      <c r="H5" s="21">
        <v>25</v>
      </c>
      <c r="I5" s="10" t="s">
        <v>21</v>
      </c>
      <c r="J5" s="10"/>
      <c r="K5" s="10" t="s">
        <v>32</v>
      </c>
      <c r="L5" s="10"/>
      <c r="M5" s="10"/>
      <c r="N5" s="10"/>
      <c r="O5" s="10"/>
      <c r="P5" s="10"/>
      <c r="Q5" s="10"/>
      <c r="R5" s="12"/>
    </row>
    <row r="6" spans="1:18" x14ac:dyDescent="0.3">
      <c r="A6" s="5">
        <v>46164</v>
      </c>
      <c r="B6" s="6" t="s">
        <v>18</v>
      </c>
      <c r="C6" s="6" t="s">
        <v>33</v>
      </c>
      <c r="D6" s="6" t="s">
        <v>34</v>
      </c>
      <c r="E6" s="6" t="str">
        <f t="shared" si="0"/>
        <v>Backpack-North Face</v>
      </c>
      <c r="F6" s="7">
        <v>70</v>
      </c>
      <c r="G6" s="7">
        <f t="shared" si="1"/>
        <v>70</v>
      </c>
      <c r="H6" s="20">
        <v>20</v>
      </c>
      <c r="I6" s="6" t="s">
        <v>35</v>
      </c>
      <c r="J6" s="6"/>
      <c r="K6" s="13" t="s">
        <v>36</v>
      </c>
      <c r="L6" s="6"/>
      <c r="M6" s="6"/>
      <c r="N6" s="6"/>
      <c r="O6" s="6"/>
      <c r="P6" s="6"/>
      <c r="Q6" s="6"/>
      <c r="R6" s="8"/>
    </row>
    <row r="7" spans="1:18" x14ac:dyDescent="0.3">
      <c r="A7" s="9">
        <v>46180</v>
      </c>
      <c r="B7" s="10" t="s">
        <v>37</v>
      </c>
      <c r="C7" s="10" t="s">
        <v>38</v>
      </c>
      <c r="D7" s="10" t="s">
        <v>39</v>
      </c>
      <c r="E7" s="6" t="str">
        <f t="shared" si="0"/>
        <v>Headphones-Sony</v>
      </c>
      <c r="F7" s="11"/>
      <c r="G7" s="11">
        <f t="shared" si="1"/>
        <v>291.2</v>
      </c>
      <c r="H7" s="21">
        <v>45</v>
      </c>
      <c r="I7" s="10" t="s">
        <v>21</v>
      </c>
      <c r="J7" s="10"/>
      <c r="K7" s="10"/>
      <c r="L7" s="10"/>
      <c r="M7" s="10"/>
      <c r="N7" s="10"/>
      <c r="O7" s="10"/>
      <c r="P7" s="10"/>
      <c r="Q7" s="10"/>
      <c r="R7" s="12"/>
    </row>
    <row r="8" spans="1:18" x14ac:dyDescent="0.3">
      <c r="A8" s="5">
        <v>46222</v>
      </c>
      <c r="B8" s="6" t="s">
        <v>37</v>
      </c>
      <c r="C8" s="6" t="s">
        <v>40</v>
      </c>
      <c r="D8" s="6" t="s">
        <v>41</v>
      </c>
      <c r="E8" s="6" t="str">
        <f t="shared" si="0"/>
        <v>T-shirt-Adidas</v>
      </c>
      <c r="F8" s="7">
        <v>30</v>
      </c>
      <c r="G8" s="7">
        <f>IF(ISBLANK(F8),AVERAGE(F8:F35),F8)</f>
        <v>30</v>
      </c>
      <c r="H8" s="20">
        <v>5</v>
      </c>
      <c r="I8" s="6" t="s">
        <v>24</v>
      </c>
      <c r="J8" s="6"/>
      <c r="K8" s="6" t="s">
        <v>42</v>
      </c>
      <c r="L8" s="6"/>
      <c r="M8" s="6"/>
      <c r="N8" s="6"/>
      <c r="O8" s="6"/>
      <c r="P8" s="6"/>
      <c r="Q8" s="6"/>
      <c r="R8" s="8"/>
    </row>
    <row r="9" spans="1:18" x14ac:dyDescent="0.3">
      <c r="A9" s="9">
        <v>46257</v>
      </c>
      <c r="B9" s="10" t="s">
        <v>37</v>
      </c>
      <c r="C9" s="10" t="s">
        <v>43</v>
      </c>
      <c r="D9" s="10" t="s">
        <v>44</v>
      </c>
      <c r="E9" s="6" t="str">
        <f t="shared" si="0"/>
        <v>Blender-Ninja</v>
      </c>
      <c r="F9" s="11">
        <v>90</v>
      </c>
      <c r="G9" s="11">
        <f>IF(ISBLANK(F9),AVERAGE(F9:F35),F9)</f>
        <v>90</v>
      </c>
      <c r="H9" s="21">
        <v>35</v>
      </c>
      <c r="I9" s="10" t="s">
        <v>28</v>
      </c>
      <c r="J9" s="10"/>
      <c r="K9" s="10" t="s">
        <v>45</v>
      </c>
      <c r="L9" s="10"/>
      <c r="M9" s="10"/>
      <c r="N9" s="10"/>
      <c r="O9" s="10"/>
      <c r="P9" s="10"/>
      <c r="Q9" s="10"/>
      <c r="R9" s="12"/>
    </row>
    <row r="10" spans="1:18" x14ac:dyDescent="0.3">
      <c r="A10" s="5">
        <v>46270</v>
      </c>
      <c r="B10" s="6" t="s">
        <v>37</v>
      </c>
      <c r="C10" s="6" t="s">
        <v>46</v>
      </c>
      <c r="D10" s="6" t="s">
        <v>47</v>
      </c>
      <c r="E10" s="6" t="str">
        <f t="shared" si="0"/>
        <v>Tablet-Apple</v>
      </c>
      <c r="F10" s="7">
        <v>500</v>
      </c>
      <c r="G10" s="7">
        <f>IF(ISBLANK(F10),AVERAGE(F10:F35),F10)</f>
        <v>500</v>
      </c>
      <c r="H10" s="20">
        <v>50</v>
      </c>
      <c r="I10" s="6" t="s">
        <v>21</v>
      </c>
      <c r="J10" s="6"/>
      <c r="K10" s="14" t="s">
        <v>33</v>
      </c>
      <c r="L10" s="14" t="s">
        <v>34</v>
      </c>
      <c r="M10" s="14">
        <v>70</v>
      </c>
      <c r="N10" s="14">
        <v>20</v>
      </c>
      <c r="O10" s="14" t="s">
        <v>35</v>
      </c>
      <c r="P10" s="6"/>
      <c r="Q10" s="6"/>
      <c r="R10" s="8"/>
    </row>
    <row r="11" spans="1:18" x14ac:dyDescent="0.3">
      <c r="A11" s="9">
        <v>46190</v>
      </c>
      <c r="B11" s="10" t="s">
        <v>48</v>
      </c>
      <c r="C11" s="10" t="s">
        <v>49</v>
      </c>
      <c r="D11" s="10" t="s">
        <v>50</v>
      </c>
      <c r="E11" s="6" t="str">
        <f t="shared" si="0"/>
        <v>Laptop-HP</v>
      </c>
      <c r="F11" s="11">
        <v>950</v>
      </c>
      <c r="G11" s="11">
        <f>IF(ISBLANK(F11),AVERAGE(F11:F35),F11)</f>
        <v>950</v>
      </c>
      <c r="H11" s="21">
        <v>25</v>
      </c>
      <c r="I11" s="10" t="s">
        <v>21</v>
      </c>
      <c r="J11" s="10"/>
      <c r="K11" s="15" t="s">
        <v>22</v>
      </c>
      <c r="L11" s="15" t="s">
        <v>41</v>
      </c>
      <c r="M11" s="15">
        <v>90</v>
      </c>
      <c r="N11" s="15">
        <v>40</v>
      </c>
      <c r="O11" s="15" t="s">
        <v>24</v>
      </c>
      <c r="P11" s="10"/>
      <c r="Q11" s="10"/>
      <c r="R11" s="12"/>
    </row>
    <row r="12" spans="1:18" x14ac:dyDescent="0.3">
      <c r="A12" s="5">
        <v>46351</v>
      </c>
      <c r="B12" s="6" t="s">
        <v>51</v>
      </c>
      <c r="C12" s="6" t="s">
        <v>22</v>
      </c>
      <c r="D12" s="6" t="s">
        <v>41</v>
      </c>
      <c r="E12" s="6" t="str">
        <f t="shared" si="0"/>
        <v>Sneakers-Adidas</v>
      </c>
      <c r="F12" s="7">
        <v>90</v>
      </c>
      <c r="G12" s="7">
        <f>IF(ISBLANK(F12),AVERAGE(F12:F35),F12)</f>
        <v>90</v>
      </c>
      <c r="H12" s="20">
        <v>40</v>
      </c>
      <c r="I12" s="6" t="s">
        <v>24</v>
      </c>
      <c r="J12" s="6"/>
      <c r="K12" s="14" t="s">
        <v>26</v>
      </c>
      <c r="L12" s="14" t="s">
        <v>52</v>
      </c>
      <c r="M12" s="14">
        <v>120</v>
      </c>
      <c r="N12" s="14">
        <v>35</v>
      </c>
      <c r="O12" s="14" t="s">
        <v>28</v>
      </c>
      <c r="P12" s="6"/>
      <c r="Q12" s="6"/>
      <c r="R12" s="8"/>
    </row>
    <row r="13" spans="1:18" x14ac:dyDescent="0.3">
      <c r="A13" s="9">
        <v>46364</v>
      </c>
      <c r="B13" s="10" t="s">
        <v>53</v>
      </c>
      <c r="C13" s="10" t="s">
        <v>26</v>
      </c>
      <c r="D13" s="10" t="s">
        <v>52</v>
      </c>
      <c r="E13" s="6" t="str">
        <f t="shared" si="0"/>
        <v>Coffee Maker-Nespresso</v>
      </c>
      <c r="F13" s="11">
        <v>120</v>
      </c>
      <c r="G13" s="11">
        <f>IF(ISBLANK(F13),AVERAGE(F13:F35),F13)</f>
        <v>120</v>
      </c>
      <c r="H13" s="21">
        <v>35</v>
      </c>
      <c r="I13" s="10" t="s">
        <v>28</v>
      </c>
      <c r="J13" s="10"/>
      <c r="K13" s="15" t="s">
        <v>54</v>
      </c>
      <c r="L13" s="15" t="s">
        <v>55</v>
      </c>
      <c r="M13" s="15">
        <v>150</v>
      </c>
      <c r="N13" s="15">
        <v>30</v>
      </c>
      <c r="O13" s="15" t="s">
        <v>56</v>
      </c>
      <c r="P13" s="10"/>
      <c r="Q13" s="10"/>
      <c r="R13" s="12"/>
    </row>
    <row r="14" spans="1:18" x14ac:dyDescent="0.3">
      <c r="A14" s="5">
        <v>46071</v>
      </c>
      <c r="B14" s="6" t="s">
        <v>57</v>
      </c>
      <c r="C14" s="6" t="s">
        <v>58</v>
      </c>
      <c r="D14" s="6" t="s">
        <v>59</v>
      </c>
      <c r="E14" s="6" t="str">
        <f t="shared" si="0"/>
        <v>Smartwatch-Fitbit</v>
      </c>
      <c r="F14" s="7">
        <v>150</v>
      </c>
      <c r="G14" s="7">
        <f>IF(ISBLANK(F14),AVERAGE(F14:F35),F14)</f>
        <v>150</v>
      </c>
      <c r="H14" s="20">
        <v>15</v>
      </c>
      <c r="I14" s="6" t="s">
        <v>21</v>
      </c>
      <c r="J14" s="6"/>
      <c r="K14" s="6" t="s">
        <v>60</v>
      </c>
      <c r="L14" s="6"/>
      <c r="M14" s="6"/>
      <c r="N14" s="6"/>
      <c r="O14" s="6"/>
      <c r="P14" s="6"/>
      <c r="Q14" s="6"/>
      <c r="R14" s="8"/>
    </row>
    <row r="15" spans="1:18" x14ac:dyDescent="0.3">
      <c r="A15" s="9">
        <v>46128</v>
      </c>
      <c r="B15" s="10" t="s">
        <v>61</v>
      </c>
      <c r="C15" s="10" t="s">
        <v>62</v>
      </c>
      <c r="D15" s="10" t="s">
        <v>63</v>
      </c>
      <c r="E15" s="6" t="str">
        <f t="shared" si="0"/>
        <v>headphones-Bose</v>
      </c>
      <c r="F15" s="11">
        <v>250</v>
      </c>
      <c r="G15" s="11">
        <f>IF(ISBLANK(F15),AVERAGE(F15:F35),F15)</f>
        <v>250</v>
      </c>
      <c r="H15" s="21">
        <v>20</v>
      </c>
      <c r="I15" s="10" t="s">
        <v>21</v>
      </c>
      <c r="J15" s="10"/>
      <c r="K15" s="10"/>
      <c r="L15" s="10"/>
      <c r="M15" s="10"/>
      <c r="N15" s="10"/>
      <c r="O15" s="10"/>
      <c r="P15" s="10"/>
      <c r="Q15" s="10"/>
      <c r="R15" s="12"/>
    </row>
    <row r="16" spans="1:18" x14ac:dyDescent="0.3">
      <c r="A16" s="5">
        <v>46255</v>
      </c>
      <c r="B16" s="6" t="s">
        <v>57</v>
      </c>
      <c r="C16" s="6" t="s">
        <v>64</v>
      </c>
      <c r="D16" s="6" t="s">
        <v>65</v>
      </c>
      <c r="E16" s="6" t="str">
        <f t="shared" si="0"/>
        <v>Laptop Bag-Samsonite</v>
      </c>
      <c r="F16" s="7">
        <v>50</v>
      </c>
      <c r="G16" s="7">
        <f>IF(ISBLANK(F16),AVERAGE(F16:F35),F16)</f>
        <v>50</v>
      </c>
      <c r="H16" s="20">
        <v>35</v>
      </c>
      <c r="I16" s="6" t="s">
        <v>35</v>
      </c>
      <c r="J16" s="6"/>
      <c r="K16" s="6" t="s">
        <v>66</v>
      </c>
      <c r="L16" s="6"/>
      <c r="M16" s="6"/>
      <c r="N16" s="6"/>
      <c r="O16" s="6"/>
      <c r="P16" s="6"/>
      <c r="Q16" s="6"/>
      <c r="R16" s="8"/>
    </row>
    <row r="17" spans="1:18" x14ac:dyDescent="0.3">
      <c r="A17" s="9">
        <v>46254</v>
      </c>
      <c r="B17" s="10" t="s">
        <v>67</v>
      </c>
      <c r="C17" s="10" t="s">
        <v>58</v>
      </c>
      <c r="D17" s="10" t="s">
        <v>68</v>
      </c>
      <c r="E17" s="6" t="str">
        <f t="shared" si="0"/>
        <v>Smartwatch-Huawei</v>
      </c>
      <c r="F17" s="11">
        <v>160</v>
      </c>
      <c r="G17" s="11">
        <f>IF(ISBLANK(F17),AVERAGE(F17:F35),F17)</f>
        <v>160</v>
      </c>
      <c r="H17" s="21">
        <v>15</v>
      </c>
      <c r="I17" s="10" t="s">
        <v>21</v>
      </c>
      <c r="J17" s="10"/>
      <c r="K17" s="10" t="s">
        <v>69</v>
      </c>
      <c r="L17" s="10"/>
      <c r="M17" s="10"/>
      <c r="N17" s="10"/>
      <c r="O17" s="10"/>
      <c r="P17" s="10"/>
      <c r="Q17" s="10"/>
      <c r="R17" s="12"/>
    </row>
    <row r="18" spans="1:18" x14ac:dyDescent="0.3">
      <c r="A18" s="5">
        <v>46049</v>
      </c>
      <c r="B18" s="6" t="s">
        <v>70</v>
      </c>
      <c r="C18" s="6" t="s">
        <v>19</v>
      </c>
      <c r="D18" s="6" t="s">
        <v>71</v>
      </c>
      <c r="E18" s="6" t="str">
        <f t="shared" si="0"/>
        <v>laptop-Asus</v>
      </c>
      <c r="F18" s="7">
        <v>980</v>
      </c>
      <c r="G18" s="7">
        <f>IF(ISBLANK(F18),AVERAGE(F18:F35),F18)</f>
        <v>980</v>
      </c>
      <c r="H18" s="20">
        <v>10</v>
      </c>
      <c r="I18" s="6" t="s">
        <v>21</v>
      </c>
      <c r="J18" s="6"/>
      <c r="K18" s="13" t="s">
        <v>72</v>
      </c>
      <c r="L18" s="6"/>
      <c r="M18" s="6"/>
      <c r="N18" s="6"/>
      <c r="O18" s="6"/>
      <c r="P18" s="6"/>
      <c r="Q18" s="6"/>
      <c r="R18" s="8"/>
    </row>
    <row r="19" spans="1:18" x14ac:dyDescent="0.3">
      <c r="A19" s="9">
        <v>46082</v>
      </c>
      <c r="B19" s="10" t="s">
        <v>37</v>
      </c>
      <c r="C19" s="10" t="s">
        <v>73</v>
      </c>
      <c r="D19" s="10" t="s">
        <v>74</v>
      </c>
      <c r="E19" s="6" t="str">
        <f t="shared" si="0"/>
        <v>Sunglasses-Oakley</v>
      </c>
      <c r="F19" s="11">
        <v>150</v>
      </c>
      <c r="G19" s="11">
        <f>IF(ISBLANK(F19),AVERAGE(F19:F35),F19)</f>
        <v>150</v>
      </c>
      <c r="H19" s="21">
        <v>15</v>
      </c>
      <c r="I19" s="10" t="s">
        <v>24</v>
      </c>
      <c r="J19" s="10"/>
      <c r="K19" s="10"/>
      <c r="L19" s="10"/>
      <c r="M19" s="10"/>
      <c r="N19" s="10"/>
      <c r="O19" s="10"/>
      <c r="P19" s="10"/>
      <c r="Q19" s="10"/>
      <c r="R19" s="12"/>
    </row>
    <row r="20" spans="1:18" x14ac:dyDescent="0.3">
      <c r="A20" s="5">
        <v>46156</v>
      </c>
      <c r="B20" s="6" t="s">
        <v>75</v>
      </c>
      <c r="C20" s="6" t="s">
        <v>76</v>
      </c>
      <c r="D20" s="6" t="s">
        <v>77</v>
      </c>
      <c r="E20" s="6" t="str">
        <f t="shared" si="0"/>
        <v>Camera-Nikon</v>
      </c>
      <c r="F20" s="7">
        <v>700</v>
      </c>
      <c r="G20" s="7">
        <f>IF(ISBLANK(F20),AVERAGE(F20:F35),F20)</f>
        <v>700</v>
      </c>
      <c r="H20" s="20">
        <v>50</v>
      </c>
      <c r="I20" s="6" t="s">
        <v>21</v>
      </c>
      <c r="J20" s="6"/>
      <c r="K20" s="6" t="s">
        <v>78</v>
      </c>
      <c r="L20" s="6"/>
      <c r="M20" s="6"/>
      <c r="N20" s="6"/>
      <c r="O20" s="6"/>
      <c r="P20" s="6"/>
      <c r="Q20" s="6"/>
      <c r="R20" s="8"/>
    </row>
    <row r="21" spans="1:18" x14ac:dyDescent="0.3">
      <c r="A21" s="9">
        <v>46031</v>
      </c>
      <c r="B21" s="10" t="s">
        <v>57</v>
      </c>
      <c r="C21" s="10" t="s">
        <v>79</v>
      </c>
      <c r="D21" s="10" t="s">
        <v>80</v>
      </c>
      <c r="E21" s="6" t="str">
        <f t="shared" si="0"/>
        <v>Microwave-Panasonic</v>
      </c>
      <c r="F21" s="11">
        <v>80</v>
      </c>
      <c r="G21" s="11">
        <f>IF(ISBLANK(F21),AVERAGE(F21:F35),F21)</f>
        <v>80</v>
      </c>
      <c r="H21" s="21">
        <v>20</v>
      </c>
      <c r="I21" s="10" t="s">
        <v>28</v>
      </c>
      <c r="J21" s="10"/>
      <c r="K21" s="16" t="s">
        <v>81</v>
      </c>
      <c r="L21" s="10"/>
      <c r="M21" s="10"/>
      <c r="N21" s="10"/>
      <c r="O21" s="10"/>
      <c r="P21" s="10"/>
      <c r="Q21" s="10"/>
      <c r="R21" s="12"/>
    </row>
    <row r="22" spans="1:18" x14ac:dyDescent="0.3">
      <c r="A22" s="5">
        <v>46222</v>
      </c>
      <c r="B22" s="6" t="s">
        <v>82</v>
      </c>
      <c r="C22" s="6" t="s">
        <v>54</v>
      </c>
      <c r="D22" s="6" t="s">
        <v>55</v>
      </c>
      <c r="E22" s="6" t="str">
        <f t="shared" si="0"/>
        <v>Fitness Tracker-Xiaomi</v>
      </c>
      <c r="F22" s="7">
        <v>150</v>
      </c>
      <c r="G22" s="7">
        <f>IF(ISBLANK(F22),AVERAGE(F22:F35),F22)</f>
        <v>150</v>
      </c>
      <c r="H22" s="20">
        <v>30</v>
      </c>
      <c r="I22" s="6" t="s">
        <v>21</v>
      </c>
      <c r="J22" s="6"/>
      <c r="K22" s="6"/>
      <c r="L22" s="6"/>
      <c r="M22" s="6"/>
      <c r="N22" s="6"/>
      <c r="O22" s="6"/>
      <c r="P22" s="6"/>
      <c r="Q22" s="6"/>
      <c r="R22" s="8"/>
    </row>
    <row r="23" spans="1:18" x14ac:dyDescent="0.3">
      <c r="A23" s="9">
        <v>46255</v>
      </c>
      <c r="B23" s="10" t="s">
        <v>57</v>
      </c>
      <c r="C23" s="10" t="s">
        <v>64</v>
      </c>
      <c r="D23" s="10" t="s">
        <v>65</v>
      </c>
      <c r="E23" s="6" t="str">
        <f t="shared" si="0"/>
        <v>Laptop Bag-Samsonite</v>
      </c>
      <c r="F23" s="11">
        <v>50</v>
      </c>
      <c r="G23" s="11">
        <f>IF(ISBLANK(F23),AVERAGE(F23:F35),F23)</f>
        <v>50</v>
      </c>
      <c r="H23" s="21">
        <v>35</v>
      </c>
      <c r="I23" s="10" t="s">
        <v>35</v>
      </c>
      <c r="J23" s="10"/>
      <c r="K23" s="10" t="s">
        <v>83</v>
      </c>
      <c r="L23" s="10"/>
      <c r="M23" s="10"/>
      <c r="N23" s="10"/>
      <c r="O23" s="10"/>
      <c r="P23" s="10"/>
      <c r="Q23" s="10"/>
      <c r="R23" s="12"/>
    </row>
    <row r="24" spans="1:18" x14ac:dyDescent="0.3">
      <c r="A24" s="5">
        <v>46294</v>
      </c>
      <c r="B24" s="6" t="s">
        <v>57</v>
      </c>
      <c r="C24" s="6" t="s">
        <v>84</v>
      </c>
      <c r="D24" s="6" t="s">
        <v>85</v>
      </c>
      <c r="E24" s="6" t="str">
        <f t="shared" si="0"/>
        <v>Smartphone-Google</v>
      </c>
      <c r="F24" s="7">
        <v>800</v>
      </c>
      <c r="G24" s="7">
        <f>IF(ISBLANK(F24),AVERAGE(F24:F52),F24)</f>
        <v>800</v>
      </c>
      <c r="H24" s="20">
        <v>45</v>
      </c>
      <c r="I24" s="6" t="s">
        <v>21</v>
      </c>
      <c r="J24" s="6"/>
      <c r="K24" s="6" t="s">
        <v>86</v>
      </c>
      <c r="L24" s="6"/>
      <c r="M24" s="6"/>
      <c r="N24" s="6"/>
      <c r="O24" s="6"/>
      <c r="P24" s="6"/>
      <c r="Q24" s="6"/>
      <c r="R24" s="8"/>
    </row>
    <row r="25" spans="1:18" x14ac:dyDescent="0.3">
      <c r="A25" s="9">
        <v>46176</v>
      </c>
      <c r="B25" s="10" t="s">
        <v>57</v>
      </c>
      <c r="C25" s="10" t="s">
        <v>73</v>
      </c>
      <c r="D25" s="10" t="s">
        <v>87</v>
      </c>
      <c r="E25" s="6" t="str">
        <f t="shared" si="0"/>
        <v>Sunglasses-Ray-Ban</v>
      </c>
      <c r="F25" s="11"/>
      <c r="G25" s="11">
        <f t="shared" si="1"/>
        <v>247.5</v>
      </c>
      <c r="H25" s="21">
        <v>25</v>
      </c>
      <c r="I25" s="10" t="s">
        <v>24</v>
      </c>
      <c r="J25" s="10"/>
      <c r="K25" s="16" t="s">
        <v>88</v>
      </c>
      <c r="L25" s="10"/>
      <c r="M25" s="10"/>
      <c r="N25" s="10"/>
      <c r="O25" s="10"/>
      <c r="P25" s="10"/>
      <c r="Q25" s="10"/>
      <c r="R25" s="12"/>
    </row>
    <row r="26" spans="1:18" x14ac:dyDescent="0.3">
      <c r="A26" s="5">
        <v>46214</v>
      </c>
      <c r="B26" s="6" t="s">
        <v>57</v>
      </c>
      <c r="C26" s="6" t="s">
        <v>43</v>
      </c>
      <c r="D26" s="6" t="s">
        <v>89</v>
      </c>
      <c r="E26" s="6" t="str">
        <f t="shared" si="0"/>
        <v>Blender-Vitamix</v>
      </c>
      <c r="F26" s="7">
        <v>400</v>
      </c>
      <c r="G26" s="7">
        <f t="shared" si="1"/>
        <v>400</v>
      </c>
      <c r="H26" s="20">
        <v>40</v>
      </c>
      <c r="I26" s="6" t="s">
        <v>28</v>
      </c>
      <c r="J26" s="6"/>
      <c r="K26" s="13" t="s">
        <v>90</v>
      </c>
      <c r="L26" s="6"/>
      <c r="M26" s="6"/>
      <c r="N26" s="6"/>
      <c r="O26" s="6"/>
      <c r="P26" s="6"/>
      <c r="Q26" s="6"/>
      <c r="R26" s="8"/>
    </row>
    <row r="27" spans="1:18" x14ac:dyDescent="0.3">
      <c r="A27" s="9">
        <v>46128</v>
      </c>
      <c r="B27" s="10" t="s">
        <v>61</v>
      </c>
      <c r="C27" s="10" t="s">
        <v>62</v>
      </c>
      <c r="D27" s="10" t="s">
        <v>63</v>
      </c>
      <c r="E27" s="6" t="str">
        <f t="shared" si="0"/>
        <v>headphones-Bose</v>
      </c>
      <c r="F27" s="11">
        <v>250</v>
      </c>
      <c r="G27" s="11">
        <f t="shared" si="1"/>
        <v>250</v>
      </c>
      <c r="H27" s="21">
        <v>20</v>
      </c>
      <c r="I27" s="10" t="s">
        <v>21</v>
      </c>
      <c r="J27" s="10"/>
      <c r="K27" s="10"/>
      <c r="L27" s="10"/>
      <c r="M27" s="10"/>
      <c r="N27" s="10"/>
      <c r="O27" s="10"/>
      <c r="P27" s="10"/>
      <c r="Q27" s="10"/>
      <c r="R27" s="12"/>
    </row>
    <row r="28" spans="1:18" x14ac:dyDescent="0.3">
      <c r="A28" s="5">
        <v>46088</v>
      </c>
      <c r="B28" s="6" t="s">
        <v>57</v>
      </c>
      <c r="C28" s="6" t="s">
        <v>91</v>
      </c>
      <c r="D28" s="6" t="s">
        <v>92</v>
      </c>
      <c r="E28" s="6" t="str">
        <f t="shared" si="0"/>
        <v>Dress-Zara</v>
      </c>
      <c r="F28" s="7">
        <v>60</v>
      </c>
      <c r="G28" s="7">
        <f t="shared" si="1"/>
        <v>60</v>
      </c>
      <c r="H28" s="20">
        <v>30</v>
      </c>
      <c r="I28" s="6" t="s">
        <v>24</v>
      </c>
      <c r="J28" s="6"/>
      <c r="K28" s="6" t="s">
        <v>93</v>
      </c>
      <c r="L28" s="6"/>
      <c r="M28" s="6"/>
      <c r="N28" s="6"/>
      <c r="O28" s="6"/>
      <c r="P28" s="6"/>
      <c r="Q28" s="6"/>
      <c r="R28" s="8"/>
    </row>
    <row r="29" spans="1:18" x14ac:dyDescent="0.3">
      <c r="A29" s="9">
        <v>46125</v>
      </c>
      <c r="B29" s="10" t="s">
        <v>57</v>
      </c>
      <c r="C29" s="10" t="s">
        <v>94</v>
      </c>
      <c r="D29" s="10" t="s">
        <v>95</v>
      </c>
      <c r="E29" s="6" t="str">
        <f t="shared" si="0"/>
        <v>Toaster-Hamilton</v>
      </c>
      <c r="F29" s="11">
        <v>40</v>
      </c>
      <c r="G29" s="11">
        <f t="shared" si="1"/>
        <v>40</v>
      </c>
      <c r="H29" s="21">
        <v>10</v>
      </c>
      <c r="I29" s="10" t="s">
        <v>28</v>
      </c>
      <c r="J29" s="10"/>
      <c r="K29" s="10" t="s">
        <v>96</v>
      </c>
      <c r="L29" s="10"/>
      <c r="M29" s="10"/>
      <c r="N29" s="10"/>
      <c r="O29" s="10"/>
      <c r="P29" s="10"/>
      <c r="Q29" s="10"/>
      <c r="R29" s="12"/>
    </row>
    <row r="30" spans="1:18" x14ac:dyDescent="0.3">
      <c r="A30" s="5">
        <v>46166</v>
      </c>
      <c r="B30" s="6" t="s">
        <v>57</v>
      </c>
      <c r="C30" s="6" t="s">
        <v>54</v>
      </c>
      <c r="D30" s="6" t="s">
        <v>97</v>
      </c>
      <c r="E30" s="6" t="str">
        <f t="shared" si="0"/>
        <v>Fitness Tracker-Garmin</v>
      </c>
      <c r="F30" s="7">
        <v>130</v>
      </c>
      <c r="G30" s="7">
        <f>IF(ISBLANK(F30),AVERAGE(F30:F58),F30)</f>
        <v>130</v>
      </c>
      <c r="H30" s="20">
        <v>5</v>
      </c>
      <c r="I30" s="6" t="s">
        <v>21</v>
      </c>
      <c r="J30" s="6"/>
      <c r="K30" s="6" t="s">
        <v>98</v>
      </c>
      <c r="L30" s="6"/>
      <c r="M30" s="6"/>
      <c r="N30" s="6"/>
      <c r="O30" s="6"/>
      <c r="P30" s="6"/>
      <c r="Q30" s="6"/>
      <c r="R30" s="8"/>
    </row>
    <row r="31" spans="1:18" x14ac:dyDescent="0.3">
      <c r="A31" s="9">
        <v>46358</v>
      </c>
      <c r="B31" s="10" t="s">
        <v>57</v>
      </c>
      <c r="C31" s="10" t="s">
        <v>99</v>
      </c>
      <c r="D31" s="10" t="s">
        <v>100</v>
      </c>
      <c r="E31" s="6" t="str">
        <f t="shared" si="0"/>
        <v>Jeans-Levi's</v>
      </c>
      <c r="F31" s="11">
        <v>50</v>
      </c>
      <c r="G31" s="11">
        <f t="shared" si="1"/>
        <v>50</v>
      </c>
      <c r="H31" s="21">
        <v>50</v>
      </c>
      <c r="I31" s="10" t="s">
        <v>24</v>
      </c>
      <c r="J31" s="10"/>
      <c r="K31" s="15" t="s">
        <v>101</v>
      </c>
      <c r="L31" s="15" t="s">
        <v>102</v>
      </c>
      <c r="M31" s="15" t="s">
        <v>103</v>
      </c>
      <c r="N31" s="15"/>
      <c r="O31" s="15">
        <v>10</v>
      </c>
      <c r="P31" s="15" t="s">
        <v>104</v>
      </c>
      <c r="Q31" s="10"/>
      <c r="R31" s="12"/>
    </row>
    <row r="32" spans="1:18" x14ac:dyDescent="0.3">
      <c r="A32" s="5">
        <v>46190</v>
      </c>
      <c r="B32" s="6" t="s">
        <v>48</v>
      </c>
      <c r="C32" s="6" t="s">
        <v>49</v>
      </c>
      <c r="D32" s="6" t="s">
        <v>50</v>
      </c>
      <c r="E32" s="6" t="str">
        <f t="shared" si="0"/>
        <v>Laptop-HP</v>
      </c>
      <c r="F32" s="7">
        <v>950</v>
      </c>
      <c r="G32" s="7">
        <f t="shared" si="1"/>
        <v>950</v>
      </c>
      <c r="H32" s="20">
        <v>25</v>
      </c>
      <c r="I32" s="6" t="s">
        <v>21</v>
      </c>
      <c r="J32" s="6"/>
      <c r="K32" s="14" t="s">
        <v>105</v>
      </c>
      <c r="L32" s="14" t="s">
        <v>106</v>
      </c>
      <c r="M32" s="14" t="s">
        <v>107</v>
      </c>
      <c r="N32" s="14">
        <v>130</v>
      </c>
      <c r="O32" s="14">
        <v>10</v>
      </c>
      <c r="P32" s="14" t="s">
        <v>104</v>
      </c>
      <c r="Q32" s="6"/>
      <c r="R32" s="8"/>
    </row>
    <row r="33" spans="1:18" x14ac:dyDescent="0.3">
      <c r="A33" s="9">
        <v>46212</v>
      </c>
      <c r="B33" s="10" t="s">
        <v>108</v>
      </c>
      <c r="C33" s="10" t="s">
        <v>109</v>
      </c>
      <c r="D33" s="10" t="s">
        <v>110</v>
      </c>
      <c r="E33" s="6" t="str">
        <f t="shared" si="0"/>
        <v>Watch-Casio</v>
      </c>
      <c r="F33" s="11">
        <v>100</v>
      </c>
      <c r="G33" s="11">
        <f t="shared" si="1"/>
        <v>100</v>
      </c>
      <c r="H33" s="21">
        <v>20</v>
      </c>
      <c r="I33" s="10" t="s">
        <v>35</v>
      </c>
      <c r="J33" s="10"/>
      <c r="K33" s="10" t="s">
        <v>111</v>
      </c>
      <c r="L33" s="10"/>
      <c r="M33" s="10"/>
      <c r="N33" s="10"/>
      <c r="O33" s="10"/>
      <c r="P33" s="10"/>
      <c r="Q33" s="10"/>
      <c r="R33" s="12"/>
    </row>
    <row r="34" spans="1:18" x14ac:dyDescent="0.3">
      <c r="A34" s="5"/>
      <c r="B34" s="6"/>
      <c r="C34" s="6"/>
      <c r="D34" s="6"/>
      <c r="E34" s="6"/>
      <c r="F34" s="6"/>
      <c r="G34" s="7"/>
      <c r="H34" s="20"/>
      <c r="I34" s="6"/>
      <c r="J34" s="6"/>
      <c r="K34" s="6"/>
      <c r="L34" s="6"/>
      <c r="M34" s="6"/>
      <c r="N34" s="6"/>
      <c r="O34" s="6"/>
      <c r="P34" s="6"/>
      <c r="Q34" s="6"/>
      <c r="R34" s="8"/>
    </row>
    <row r="35" spans="1:18" x14ac:dyDescent="0.3">
      <c r="A35" s="9"/>
      <c r="B35" s="10"/>
      <c r="C35" s="10"/>
      <c r="D35" s="10"/>
      <c r="E35" s="10"/>
      <c r="F35" s="10"/>
      <c r="G35" s="11"/>
      <c r="H35" s="21"/>
      <c r="I35" s="10"/>
      <c r="J35" s="10"/>
      <c r="K35" s="10" t="s">
        <v>112</v>
      </c>
      <c r="L35" s="10"/>
      <c r="M35" s="10"/>
      <c r="N35" s="10"/>
      <c r="O35" s="10"/>
      <c r="P35" s="10"/>
      <c r="Q35" s="10"/>
      <c r="R35" s="12"/>
    </row>
    <row r="36" spans="1:18" x14ac:dyDescent="0.3">
      <c r="A36" s="17"/>
      <c r="B36" s="6" t="s">
        <v>113</v>
      </c>
      <c r="C36" s="6"/>
      <c r="D36" s="6"/>
      <c r="E36" s="6"/>
      <c r="F36" s="6"/>
      <c r="G36" s="6"/>
      <c r="H36" s="20"/>
      <c r="I36" s="6"/>
      <c r="J36" s="6"/>
      <c r="K36" s="6" t="s">
        <v>114</v>
      </c>
      <c r="L36" s="6"/>
      <c r="M36" s="6"/>
      <c r="N36" s="6"/>
      <c r="O36" s="6"/>
      <c r="P36" s="6"/>
      <c r="Q36" s="6"/>
      <c r="R36" s="8"/>
    </row>
    <row r="37" spans="1:18" x14ac:dyDescent="0.3">
      <c r="A37" s="18"/>
      <c r="B37" s="10" t="s">
        <v>115</v>
      </c>
      <c r="C37" s="10"/>
      <c r="D37" s="10"/>
      <c r="E37" s="10"/>
      <c r="F37" s="10"/>
      <c r="G37" s="10"/>
      <c r="H37" s="21"/>
      <c r="I37" s="10"/>
      <c r="J37" s="10"/>
      <c r="K37" s="10" t="s">
        <v>116</v>
      </c>
      <c r="L37" s="10"/>
      <c r="M37" s="10"/>
      <c r="N37" s="10"/>
      <c r="O37" s="10"/>
      <c r="P37" s="10"/>
      <c r="Q37" s="10"/>
      <c r="R37" s="12"/>
    </row>
    <row r="38" spans="1:18" x14ac:dyDescent="0.3">
      <c r="A38" s="17"/>
      <c r="B38" s="13" t="s">
        <v>117</v>
      </c>
      <c r="C38" s="6"/>
      <c r="D38" s="6"/>
      <c r="E38" s="6"/>
      <c r="F38" s="6"/>
      <c r="G38" s="6"/>
      <c r="H38" s="20"/>
      <c r="I38" s="6"/>
      <c r="J38" s="6"/>
      <c r="K38" s="13" t="s">
        <v>118</v>
      </c>
      <c r="L38" s="6"/>
      <c r="M38" s="6"/>
      <c r="N38" s="6"/>
      <c r="O38" s="6"/>
      <c r="P38" s="6"/>
      <c r="Q38" s="6"/>
      <c r="R38" s="8"/>
    </row>
    <row r="39" spans="1:18" x14ac:dyDescent="0.3">
      <c r="A39" s="18"/>
      <c r="B39" s="10"/>
      <c r="C39" s="10"/>
      <c r="D39" s="10"/>
      <c r="E39" s="10"/>
      <c r="F39" s="10"/>
      <c r="G39" s="10"/>
      <c r="H39" s="21"/>
      <c r="I39" s="10"/>
      <c r="J39" s="10"/>
      <c r="K39" s="16" t="s">
        <v>119</v>
      </c>
      <c r="L39" s="10"/>
      <c r="M39" s="10"/>
      <c r="N39" s="10"/>
      <c r="O39" s="10"/>
      <c r="P39" s="10"/>
      <c r="Q39" s="10"/>
      <c r="R39" s="12"/>
    </row>
    <row r="40" spans="1:18" x14ac:dyDescent="0.3">
      <c r="A40" s="17"/>
      <c r="B40" s="6" t="s">
        <v>120</v>
      </c>
      <c r="C40" s="6"/>
      <c r="D40" s="6"/>
      <c r="E40" s="6"/>
      <c r="F40" s="6"/>
      <c r="G40" s="6"/>
      <c r="H40" s="20"/>
      <c r="I40" s="6"/>
      <c r="J40" s="6"/>
      <c r="K40" s="6"/>
      <c r="L40" s="6"/>
      <c r="M40" s="6"/>
      <c r="N40" s="6"/>
      <c r="O40" s="6"/>
      <c r="P40" s="6"/>
      <c r="Q40" s="6"/>
      <c r="R40" s="8"/>
    </row>
    <row r="41" spans="1:18" x14ac:dyDescent="0.3">
      <c r="A41" s="18"/>
      <c r="B41" s="10" t="s">
        <v>121</v>
      </c>
      <c r="C41" s="10"/>
      <c r="D41" s="10"/>
      <c r="E41" s="10"/>
      <c r="F41" s="10"/>
      <c r="G41" s="10"/>
      <c r="H41" s="21"/>
      <c r="I41" s="10"/>
      <c r="J41" s="10"/>
      <c r="K41" s="10" t="s">
        <v>122</v>
      </c>
      <c r="L41" s="10"/>
      <c r="M41" s="10"/>
      <c r="N41" s="10"/>
      <c r="O41" s="10"/>
      <c r="P41" s="10"/>
      <c r="Q41" s="10"/>
      <c r="R41" s="12"/>
    </row>
    <row r="42" spans="1:18" x14ac:dyDescent="0.3">
      <c r="A42" s="17"/>
      <c r="B42" s="13" t="s">
        <v>123</v>
      </c>
      <c r="C42" s="6"/>
      <c r="D42" s="6"/>
      <c r="E42" s="6"/>
      <c r="F42" s="6"/>
      <c r="G42" s="6"/>
      <c r="H42" s="20"/>
      <c r="I42" s="6"/>
      <c r="J42" s="6"/>
      <c r="K42" s="6" t="s">
        <v>4</v>
      </c>
      <c r="L42" s="6"/>
      <c r="M42" s="6"/>
      <c r="N42" s="6"/>
      <c r="O42" s="6"/>
      <c r="P42" s="6"/>
      <c r="Q42" s="6"/>
      <c r="R42" s="8"/>
    </row>
    <row r="43" spans="1:18" x14ac:dyDescent="0.3">
      <c r="A43" s="18"/>
      <c r="B43" s="16" t="s">
        <v>124</v>
      </c>
      <c r="C43" s="10"/>
      <c r="D43" s="10"/>
      <c r="E43" s="10"/>
      <c r="F43" s="10"/>
      <c r="G43" s="10"/>
      <c r="H43" s="21"/>
      <c r="I43" s="10"/>
      <c r="J43" s="10"/>
      <c r="K43" s="16" t="s">
        <v>125</v>
      </c>
      <c r="L43" s="10"/>
      <c r="M43" s="10"/>
      <c r="N43" s="10"/>
      <c r="O43" s="10"/>
      <c r="P43" s="10"/>
      <c r="Q43" s="10"/>
      <c r="R43" s="12"/>
    </row>
    <row r="44" spans="1:18" x14ac:dyDescent="0.3">
      <c r="A44" s="17"/>
      <c r="B44" s="6"/>
      <c r="C44" s="6"/>
      <c r="D44" s="6"/>
      <c r="E44" s="6"/>
      <c r="F44" s="6"/>
      <c r="G44" s="6"/>
      <c r="H44" s="20"/>
      <c r="I44" s="6"/>
      <c r="J44" s="6"/>
      <c r="K44" s="6"/>
      <c r="L44" s="6"/>
      <c r="M44" s="6"/>
      <c r="N44" s="6"/>
      <c r="O44" s="6"/>
      <c r="P44" s="6"/>
      <c r="Q44" s="6"/>
      <c r="R44" s="8"/>
    </row>
    <row r="45" spans="1:18" x14ac:dyDescent="0.3">
      <c r="A45" s="18"/>
      <c r="B45" s="10" t="s">
        <v>126</v>
      </c>
      <c r="C45" s="10"/>
      <c r="D45" s="10"/>
      <c r="E45" s="10"/>
      <c r="F45" s="10"/>
      <c r="G45" s="10"/>
      <c r="H45" s="21"/>
      <c r="I45" s="10"/>
      <c r="J45" s="10"/>
      <c r="K45" s="10"/>
      <c r="L45" s="10"/>
      <c r="M45" s="10"/>
      <c r="N45" s="10"/>
      <c r="O45" s="10"/>
      <c r="P45" s="10"/>
      <c r="Q45" s="10"/>
      <c r="R45" s="12"/>
    </row>
    <row r="46" spans="1:18" x14ac:dyDescent="0.3">
      <c r="A46" s="17"/>
      <c r="B46" s="6" t="s">
        <v>127</v>
      </c>
      <c r="C46" s="6"/>
      <c r="D46" s="6"/>
      <c r="E46" s="6"/>
      <c r="F46" s="6"/>
      <c r="G46" s="6"/>
      <c r="H46" s="20"/>
      <c r="I46" s="6"/>
      <c r="J46" s="6"/>
      <c r="K46" s="6"/>
      <c r="L46" s="6"/>
      <c r="M46" s="6"/>
      <c r="N46" s="6"/>
      <c r="O46" s="6"/>
      <c r="P46" s="6"/>
      <c r="Q46" s="6"/>
      <c r="R46" s="8"/>
    </row>
    <row r="47" spans="1:18" x14ac:dyDescent="0.3">
      <c r="A47" s="18"/>
      <c r="B47" s="16" t="s">
        <v>128</v>
      </c>
      <c r="C47" s="10"/>
      <c r="D47" s="10"/>
      <c r="E47" s="10"/>
      <c r="F47" s="10"/>
      <c r="G47" s="10"/>
      <c r="H47" s="21"/>
      <c r="I47" s="10"/>
      <c r="J47" s="10"/>
      <c r="K47" s="10"/>
      <c r="L47" s="10"/>
      <c r="M47" s="10"/>
      <c r="N47" s="10"/>
      <c r="O47" s="10"/>
      <c r="P47" s="10"/>
      <c r="Q47" s="10"/>
      <c r="R47" s="12"/>
    </row>
    <row r="48" spans="1:18" x14ac:dyDescent="0.3">
      <c r="A48" s="17"/>
      <c r="B48" s="6"/>
      <c r="C48" s="6"/>
      <c r="D48" s="6"/>
      <c r="E48" s="6"/>
      <c r="F48" s="6"/>
      <c r="G48" s="6"/>
      <c r="H48" s="20"/>
      <c r="I48" s="6"/>
      <c r="J48" s="6"/>
      <c r="K48" s="6"/>
      <c r="L48" s="6"/>
      <c r="M48" s="6"/>
      <c r="N48" s="6"/>
      <c r="O48" s="6"/>
      <c r="P48" s="6"/>
      <c r="Q48" s="6"/>
      <c r="R48" s="8"/>
    </row>
    <row r="49" spans="1:18" x14ac:dyDescent="0.3">
      <c r="A49" s="18"/>
      <c r="B49" s="10" t="s">
        <v>129</v>
      </c>
      <c r="C49" s="10"/>
      <c r="D49" s="10"/>
      <c r="E49" s="10"/>
      <c r="F49" s="10"/>
      <c r="G49" s="10"/>
      <c r="H49" s="21"/>
      <c r="I49" s="10"/>
      <c r="J49" s="10"/>
      <c r="K49" s="10"/>
      <c r="L49" s="10"/>
      <c r="M49" s="10"/>
      <c r="N49" s="10"/>
      <c r="O49" s="10"/>
      <c r="P49" s="10"/>
      <c r="Q49" s="10"/>
      <c r="R49" s="12"/>
    </row>
    <row r="50" spans="1:18" x14ac:dyDescent="0.3">
      <c r="A50" s="17"/>
      <c r="B50" s="6" t="s">
        <v>130</v>
      </c>
      <c r="C50" s="6"/>
      <c r="D50" s="6"/>
      <c r="E50" s="6"/>
      <c r="F50" s="6"/>
      <c r="G50" s="6"/>
      <c r="H50" s="20"/>
      <c r="I50" s="6"/>
      <c r="J50" s="6"/>
      <c r="K50" s="6"/>
      <c r="L50" s="6"/>
      <c r="M50" s="6"/>
      <c r="N50" s="6"/>
      <c r="O50" s="6"/>
      <c r="P50" s="6"/>
      <c r="Q50" s="6"/>
      <c r="R50" s="8"/>
    </row>
    <row r="51" spans="1:18" x14ac:dyDescent="0.3">
      <c r="A51" s="18"/>
      <c r="B51" s="16" t="s">
        <v>131</v>
      </c>
      <c r="C51" s="10"/>
      <c r="D51" s="10"/>
      <c r="E51" s="10"/>
      <c r="F51" s="10"/>
      <c r="G51" s="10"/>
      <c r="H51" s="21"/>
      <c r="I51" s="10"/>
      <c r="J51" s="10"/>
      <c r="K51" s="10"/>
      <c r="L51" s="10"/>
      <c r="M51" s="10"/>
      <c r="N51" s="10"/>
      <c r="O51" s="10"/>
      <c r="P51" s="10"/>
      <c r="Q51" s="10"/>
      <c r="R51" s="12"/>
    </row>
    <row r="52" spans="1:18" x14ac:dyDescent="0.3">
      <c r="A52" s="17"/>
      <c r="B52" s="13" t="s">
        <v>132</v>
      </c>
      <c r="C52" s="6"/>
      <c r="D52" s="6"/>
      <c r="E52" s="6"/>
      <c r="F52" s="6"/>
      <c r="G52" s="6"/>
      <c r="H52" s="20"/>
      <c r="I52" s="6"/>
      <c r="J52" s="6"/>
      <c r="K52" s="6"/>
      <c r="L52" s="6"/>
      <c r="M52" s="6"/>
      <c r="N52" s="6"/>
      <c r="O52" s="6"/>
      <c r="P52" s="6"/>
      <c r="Q52" s="6"/>
      <c r="R52" s="8"/>
    </row>
    <row r="53" spans="1:18" x14ac:dyDescent="0.3">
      <c r="A53" s="18"/>
      <c r="B53" s="10"/>
      <c r="C53" s="10"/>
      <c r="D53" s="10"/>
      <c r="E53" s="10"/>
      <c r="F53" s="10"/>
      <c r="G53" s="11"/>
      <c r="H53" s="21"/>
      <c r="I53" s="10"/>
      <c r="J53" s="10"/>
      <c r="K53" s="10"/>
      <c r="L53" s="10"/>
      <c r="M53" s="10"/>
      <c r="N53" s="10"/>
      <c r="O53" s="10"/>
      <c r="P53" s="10"/>
      <c r="Q53" s="10"/>
      <c r="R53" s="12"/>
    </row>
    <row r="54" spans="1:18" x14ac:dyDescent="0.3">
      <c r="A54" s="17"/>
      <c r="B54" s="6"/>
      <c r="C54" s="6"/>
      <c r="D54" s="6"/>
      <c r="E54" s="6"/>
      <c r="F54" s="6"/>
      <c r="G54" s="7"/>
      <c r="H54" s="20"/>
      <c r="I54" s="6"/>
      <c r="J54" s="6"/>
      <c r="K54" s="6"/>
      <c r="L54" s="6"/>
      <c r="M54" s="6"/>
      <c r="N54" s="6"/>
      <c r="O54" s="6"/>
      <c r="P54" s="6"/>
      <c r="Q54" s="6"/>
      <c r="R54" s="8"/>
    </row>
  </sheetData>
  <conditionalFormatting sqref="G2:G3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{FE642850-B7D6-458D-8C16-7F27317471DD}</x14:id>
        </ext>
      </extLst>
    </cfRule>
  </conditionalFormatting>
  <conditionalFormatting sqref="I2:I33 I36:I54">
    <cfRule type="containsText" dxfId="1" priority="2" operator="containsText" text="Electronics">
      <formula>NOT(ISERROR(SEARCH("Electronics",I2)))</formula>
    </cfRule>
    <cfRule type="containsText" dxfId="0" priority="3" operator="containsText" text="Electronics">
      <formula>NOT(ISERROR(SEARCH("Electronics",I2)))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642850-B7D6-458D-8C16-7F27317471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G2:G33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pavithra nataraj</dc:creator>
  <cp:lastModifiedBy>pavithra nataraj</cp:lastModifiedBy>
  <dcterms:created xsi:type="dcterms:W3CDTF">2026-09-30T14:47:50Z</dcterms:created>
  <dcterms:modified xsi:type="dcterms:W3CDTF">2026-09-30T14:54:32Z</dcterms:modified>
</cp:coreProperties>
</file>